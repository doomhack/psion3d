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FABBAF53-852A-4090-A617-543C6D400C02}" xr6:coauthVersionLast="47" xr6:coauthVersionMax="47" xr10:uidLastSave="{00000000-0000-0000-0000-000000000000}"/>
  <bookViews>
    <workbookView xWindow="1725" yWindow="2880" windowWidth="21600" windowHeight="11295" firstSheet="4" activeTab="9" xr2:uid="{72A343FB-71F0-4738-BBFF-B23B40D170FF}"/>
  </bookViews>
  <sheets>
    <sheet name="Mapbits" sheetId="4" r:id="rId1"/>
    <sheet name="Sheet2" sheetId="9" r:id="rId2"/>
    <sheet name="AI States" sheetId="8" r:id="rId3"/>
    <sheet name="Tiles Type" sheetId="2" r:id="rId4"/>
    <sheet name="Weapons" sheetId="10" r:id="rId5"/>
    <sheet name="Level 1" sheetId="1" r:id="rId6"/>
    <sheet name="Memory Budget" sheetId="3" r:id="rId7"/>
    <sheet name="Performance" sheetId="6" r:id="rId8"/>
    <sheet name="Optimisation" sheetId="7" r:id="rId9"/>
    <sheet name="TIming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6" l="1"/>
  <c r="H2" i="6"/>
  <c r="C12" i="7"/>
  <c r="E12" i="7"/>
  <c r="F12" i="7"/>
  <c r="C11" i="7" l="1"/>
  <c r="E11" i="7"/>
  <c r="F11" i="7" s="1"/>
  <c r="C10" i="7"/>
  <c r="E10" i="7"/>
  <c r="F10" i="7"/>
  <c r="C9" i="3"/>
  <c r="C9" i="7"/>
  <c r="E9" i="7"/>
  <c r="F9" i="7" s="1"/>
  <c r="B6" i="3" l="1"/>
  <c r="B5" i="3"/>
  <c r="B4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B12" i="3" l="1"/>
  <c r="C14" i="3" s="1"/>
  <c r="C3" i="7"/>
  <c r="L3" i="6"/>
  <c r="L4" i="6"/>
  <c r="L2" i="6"/>
  <c r="H4" i="6"/>
  <c r="J4" i="6"/>
  <c r="J3" i="6"/>
  <c r="J2" i="6"/>
  <c r="D3" i="6" l="1"/>
  <c r="D4" i="6"/>
  <c r="D2" i="6"/>
  <c r="B14" i="3"/>
  <c r="D14" i="3" s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1" i="1"/>
</calcChain>
</file>

<file path=xl/sharedStrings.xml><?xml version="1.0" encoding="utf-8"?>
<sst xmlns="http://schemas.openxmlformats.org/spreadsheetml/2006/main" count="4254" uniqueCount="122">
  <si>
    <t>X</t>
  </si>
  <si>
    <t>W</t>
  </si>
  <si>
    <t>A</t>
  </si>
  <si>
    <t>D</t>
  </si>
  <si>
    <t>P</t>
  </si>
  <si>
    <t>S</t>
  </si>
  <si>
    <t>Type</t>
  </si>
  <si>
    <t>Name</t>
  </si>
  <si>
    <t>Brick Wall</t>
  </si>
  <si>
    <t>Plain black wall</t>
  </si>
  <si>
    <t>Window</t>
  </si>
  <si>
    <t>Archway</t>
  </si>
  <si>
    <t>Unlocked Door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</si>
  <si>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</si>
  <si>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</si>
  <si>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</si>
  <si>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</si>
  <si>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</si>
  <si>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</si>
  <si>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</si>
  <si>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</si>
  <si>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</si>
  <si>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</si>
  <si>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</si>
  <si>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</si>
  <si>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</si>
  <si>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</si>
  <si>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</si>
  <si>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</si>
  <si>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</si>
  <si>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</si>
  <si>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</si>
  <si>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</si>
  <si>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</si>
  <si>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</si>
  <si>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</si>
  <si>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</si>
  <si>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</si>
  <si>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</si>
  <si>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</si>
  <si>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</si>
  <si>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</si>
  <si>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</si>
  <si>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</si>
  <si>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</si>
  <si>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</si>
  <si>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</si>
  <si>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</si>
  <si>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</si>
  <si>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</si>
  <si>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</si>
  <si>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</si>
  <si>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</si>
  <si>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</si>
  <si>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</si>
  <si>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</si>
  <si>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</si>
  <si>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</si>
  <si>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</si>
  <si>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</t>
  </si>
  <si>
    <t>G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</si>
  <si>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</si>
  <si>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</si>
  <si>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</si>
  <si>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</si>
  <si>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</si>
  <si>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</si>
  <si>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</si>
  <si>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</si>
  <si>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</si>
  <si>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</si>
  <si>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</si>
  <si>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</si>
  <si>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</si>
  <si>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</si>
  <si>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</si>
  <si>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</si>
  <si>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</si>
  <si>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</si>
  <si>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</si>
  <si>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</si>
  <si>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</si>
  <si>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</si>
  <si>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</si>
  <si>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</si>
  <si>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</si>
  <si>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</si>
  <si>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</si>
  <si>
    <t>Game Seg</t>
  </si>
  <si>
    <t>Other Segs</t>
  </si>
  <si>
    <t>Mercenary enemy</t>
  </si>
  <si>
    <t>Soldier Enemy</t>
  </si>
  <si>
    <t>Heavy Enemy</t>
  </si>
  <si>
    <t>Wall types</t>
  </si>
  <si>
    <t>Default wall</t>
  </si>
  <si>
    <t>Dark Wall</t>
  </si>
  <si>
    <t>Bars</t>
  </si>
  <si>
    <t>Enemy Types</t>
  </si>
  <si>
    <t>Soldier</t>
  </si>
  <si>
    <t>Bitmask maps</t>
  </si>
  <si>
    <t>U16 map</t>
  </si>
  <si>
    <t>Surprised</t>
  </si>
  <si>
    <t>Delay</t>
  </si>
  <si>
    <t>Aiming</t>
  </si>
  <si>
    <t>Check if player is still in same position, if so shoot, else go to chase.</t>
  </si>
  <si>
    <t>Hurt</t>
  </si>
  <si>
    <t>When enemy has been hit</t>
  </si>
  <si>
    <t>Evading</t>
  </si>
  <si>
    <t>Go back to chase or evading</t>
  </si>
  <si>
    <t>Move away from player</t>
  </si>
  <si>
    <t>Move away from player or sidestep.</t>
  </si>
  <si>
    <t>Pistol</t>
  </si>
  <si>
    <t>SMG</t>
  </si>
  <si>
    <t>AK47</t>
  </si>
  <si>
    <t>LMG</t>
  </si>
  <si>
    <t>Soldger</t>
  </si>
  <si>
    <t>Player start</t>
  </si>
  <si>
    <t>No 32bit div</t>
  </si>
  <si>
    <t>Bare loop</t>
  </si>
  <si>
    <t>FPS</t>
  </si>
  <si>
    <t>MS</t>
  </si>
  <si>
    <t>EMU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</si>
</sst>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  <font>
      <sz val="11"/>
      <color rgb="FF569CD6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0" fillId="0" borderId="0" xfId="0" applyAlignment="1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0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M17"/>
  <sheetViews>
    <sheetView workbookViewId="0">
      <selection activeCell="I4" sqref="I4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  <col min="9" max="9" width="14.140625" bestFit="1" customWidth="1"/>
    <col min="11" max="11" width="12.140625" bestFit="1" customWidth="1"/>
    <col min="13" max="13" width="10.140625" bestFit="1" customWidth="1"/>
  </cols>
  <sheetData>
    <row r="1" spans="1:13" ht="16.5" x14ac:dyDescent="0.25">
      <c r="A1" t="s">
        <v>32</v>
      </c>
      <c r="B1" t="s">
        <v>7</v>
      </c>
      <c r="F1" t="s">
        <v>93</v>
      </c>
      <c r="G1">
        <v>0</v>
      </c>
      <c r="H1" s="3" t="s">
        <v>0</v>
      </c>
      <c r="I1" t="s">
        <v>94</v>
      </c>
      <c r="K1" t="s">
        <v>97</v>
      </c>
      <c r="L1">
        <v>0</v>
      </c>
      <c r="M1" t="s">
        <v>61</v>
      </c>
    </row>
    <row r="2" spans="1:13" ht="16.5" x14ac:dyDescent="0.25">
      <c r="A2">
        <v>15</v>
      </c>
      <c r="B2" t="s">
        <v>28</v>
      </c>
      <c r="C2" t="s">
        <v>33</v>
      </c>
      <c r="G2">
        <v>1</v>
      </c>
      <c r="H2" s="3" t="s">
        <v>4</v>
      </c>
      <c r="I2" t="s">
        <v>95</v>
      </c>
      <c r="L2">
        <v>1</v>
      </c>
      <c r="M2" t="s">
        <v>79</v>
      </c>
    </row>
    <row r="3" spans="1:13" ht="16.5" x14ac:dyDescent="0.25">
      <c r="A3">
        <v>14</v>
      </c>
      <c r="B3" t="s">
        <v>23</v>
      </c>
      <c r="C3" t="s">
        <v>35</v>
      </c>
      <c r="G3">
        <v>2</v>
      </c>
      <c r="H3" s="3" t="s">
        <v>1</v>
      </c>
      <c r="I3" t="s">
        <v>10</v>
      </c>
      <c r="L3">
        <v>2</v>
      </c>
      <c r="M3" t="s">
        <v>98</v>
      </c>
    </row>
    <row r="4" spans="1:13" ht="16.5" x14ac:dyDescent="0.25">
      <c r="A4">
        <v>13</v>
      </c>
      <c r="B4" t="s">
        <v>26</v>
      </c>
      <c r="C4" t="s">
        <v>37</v>
      </c>
      <c r="G4">
        <v>3</v>
      </c>
      <c r="H4" s="3" t="s">
        <v>2</v>
      </c>
      <c r="I4" t="s">
        <v>11</v>
      </c>
      <c r="L4">
        <v>3</v>
      </c>
      <c r="M4" t="s">
        <v>81</v>
      </c>
    </row>
    <row r="5" spans="1:13" ht="16.5" x14ac:dyDescent="0.25">
      <c r="A5">
        <v>12</v>
      </c>
      <c r="B5" t="s">
        <v>30</v>
      </c>
      <c r="C5" t="s">
        <v>34</v>
      </c>
      <c r="G5">
        <v>4</v>
      </c>
      <c r="H5" s="3" t="s">
        <v>3</v>
      </c>
      <c r="I5" t="s">
        <v>12</v>
      </c>
      <c r="L5">
        <v>4</v>
      </c>
    </row>
    <row r="6" spans="1:13" ht="16.5" x14ac:dyDescent="0.25">
      <c r="A6">
        <v>11</v>
      </c>
      <c r="B6" t="s">
        <v>86</v>
      </c>
      <c r="C6" t="s">
        <v>87</v>
      </c>
      <c r="G6">
        <v>5</v>
      </c>
      <c r="H6" s="3" t="s">
        <v>5</v>
      </c>
      <c r="I6" t="s">
        <v>13</v>
      </c>
      <c r="L6">
        <v>5</v>
      </c>
    </row>
    <row r="7" spans="1:13" ht="16.5" x14ac:dyDescent="0.25">
      <c r="A7">
        <v>10</v>
      </c>
      <c r="B7" t="s">
        <v>29</v>
      </c>
      <c r="C7" t="s">
        <v>36</v>
      </c>
      <c r="G7">
        <v>6</v>
      </c>
      <c r="H7" s="3" t="s">
        <v>19</v>
      </c>
      <c r="I7" t="s">
        <v>96</v>
      </c>
      <c r="L7">
        <v>6</v>
      </c>
    </row>
    <row r="8" spans="1:13" ht="16.5" x14ac:dyDescent="0.25">
      <c r="A8">
        <v>9</v>
      </c>
      <c r="B8" s="8" t="s">
        <v>6</v>
      </c>
      <c r="G8">
        <v>7</v>
      </c>
      <c r="H8" s="3" t="s">
        <v>21</v>
      </c>
      <c r="I8" t="s">
        <v>22</v>
      </c>
      <c r="L8">
        <v>7</v>
      </c>
    </row>
    <row r="9" spans="1:13" x14ac:dyDescent="0.25">
      <c r="A9">
        <v>8</v>
      </c>
      <c r="B9" s="8"/>
      <c r="G9">
        <v>8</v>
      </c>
      <c r="L9">
        <v>8</v>
      </c>
    </row>
    <row r="10" spans="1:13" x14ac:dyDescent="0.25">
      <c r="A10">
        <v>7</v>
      </c>
      <c r="B10" s="8"/>
      <c r="C10" s="6"/>
      <c r="G10">
        <v>9</v>
      </c>
      <c r="L10">
        <v>9</v>
      </c>
    </row>
    <row r="11" spans="1:13" x14ac:dyDescent="0.25">
      <c r="A11">
        <v>6</v>
      </c>
      <c r="B11" s="8"/>
      <c r="C11" s="6"/>
      <c r="G11">
        <v>10</v>
      </c>
      <c r="L11">
        <v>10</v>
      </c>
    </row>
    <row r="12" spans="1:13" x14ac:dyDescent="0.25">
      <c r="A12">
        <v>5</v>
      </c>
      <c r="B12" s="8" t="s">
        <v>31</v>
      </c>
      <c r="C12" s="6"/>
      <c r="G12">
        <v>11</v>
      </c>
      <c r="L12">
        <v>11</v>
      </c>
    </row>
    <row r="13" spans="1:13" x14ac:dyDescent="0.25">
      <c r="A13">
        <v>4</v>
      </c>
      <c r="B13" s="8"/>
      <c r="C13" s="6"/>
      <c r="G13">
        <v>12</v>
      </c>
      <c r="L13">
        <v>12</v>
      </c>
    </row>
    <row r="14" spans="1:13" x14ac:dyDescent="0.25">
      <c r="A14">
        <v>3</v>
      </c>
      <c r="B14" s="8"/>
      <c r="C14" s="6"/>
      <c r="G14">
        <v>13</v>
      </c>
      <c r="L14">
        <v>13</v>
      </c>
    </row>
    <row r="15" spans="1:13" x14ac:dyDescent="0.25">
      <c r="A15">
        <v>2</v>
      </c>
      <c r="B15" s="8"/>
      <c r="C15" s="6"/>
      <c r="G15">
        <v>14</v>
      </c>
      <c r="L15">
        <v>14</v>
      </c>
    </row>
    <row r="16" spans="1:13" x14ac:dyDescent="0.25">
      <c r="A16">
        <v>1</v>
      </c>
      <c r="B16" s="8"/>
      <c r="C16" s="6"/>
      <c r="G16">
        <v>15</v>
      </c>
      <c r="L16">
        <v>15</v>
      </c>
    </row>
    <row r="17" spans="1:3" x14ac:dyDescent="0.25">
      <c r="A17">
        <v>0</v>
      </c>
      <c r="B17" s="8"/>
      <c r="C17" s="6"/>
    </row>
  </sheetData>
  <mergeCells count="2">
    <mergeCell ref="B8:B11"/>
    <mergeCell ref="B12:B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78</v>
      </c>
    </row>
    <row r="2" spans="1:2" x14ac:dyDescent="0.25">
      <c r="A2">
        <v>0</v>
      </c>
      <c r="B2" t="s">
        <v>61</v>
      </c>
    </row>
    <row r="3" spans="1:2" x14ac:dyDescent="0.25">
      <c r="A3">
        <v>1</v>
      </c>
      <c r="B3" t="s">
        <v>79</v>
      </c>
    </row>
    <row r="4" spans="1:2" x14ac:dyDescent="0.25">
      <c r="A4">
        <v>2</v>
      </c>
      <c r="B4" t="s">
        <v>80</v>
      </c>
    </row>
    <row r="5" spans="1:2" x14ac:dyDescent="0.25">
      <c r="A5">
        <v>3</v>
      </c>
      <c r="B5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15"/>
  <sheetViews>
    <sheetView workbookViewId="0">
      <selection activeCell="B13" sqref="B13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3.7109375" bestFit="1" customWidth="1"/>
    <col min="6" max="6" width="68" bestFit="1" customWidth="1"/>
  </cols>
  <sheetData>
    <row r="1" spans="1:6" x14ac:dyDescent="0.25">
      <c r="B1" t="s">
        <v>62</v>
      </c>
      <c r="D1" t="s">
        <v>63</v>
      </c>
    </row>
    <row r="2" spans="1:6" x14ac:dyDescent="0.25">
      <c r="A2">
        <v>0</v>
      </c>
      <c r="B2" t="s">
        <v>75</v>
      </c>
      <c r="D2" t="s">
        <v>64</v>
      </c>
      <c r="E2" t="s">
        <v>68</v>
      </c>
    </row>
    <row r="3" spans="1:6" x14ac:dyDescent="0.25">
      <c r="A3">
        <v>1</v>
      </c>
      <c r="B3" t="s">
        <v>82</v>
      </c>
      <c r="D3" t="s">
        <v>101</v>
      </c>
      <c r="E3" t="s">
        <v>102</v>
      </c>
    </row>
    <row r="4" spans="1:6" x14ac:dyDescent="0.25">
      <c r="A4">
        <v>2</v>
      </c>
      <c r="B4" t="s">
        <v>83</v>
      </c>
      <c r="D4" t="s">
        <v>65</v>
      </c>
      <c r="E4" t="s">
        <v>69</v>
      </c>
      <c r="F4" t="s">
        <v>74</v>
      </c>
    </row>
    <row r="5" spans="1:6" x14ac:dyDescent="0.25">
      <c r="A5">
        <v>3</v>
      </c>
      <c r="B5" t="s">
        <v>84</v>
      </c>
      <c r="D5" t="s">
        <v>66</v>
      </c>
      <c r="E5" t="s">
        <v>70</v>
      </c>
      <c r="F5" t="s">
        <v>73</v>
      </c>
    </row>
    <row r="6" spans="1:6" x14ac:dyDescent="0.25">
      <c r="A6">
        <v>4</v>
      </c>
      <c r="B6" t="s">
        <v>85</v>
      </c>
      <c r="D6" t="s">
        <v>103</v>
      </c>
      <c r="E6" t="s">
        <v>102</v>
      </c>
      <c r="F6" t="s">
        <v>104</v>
      </c>
    </row>
    <row r="7" spans="1:6" x14ac:dyDescent="0.25">
      <c r="A7">
        <v>5</v>
      </c>
      <c r="B7" t="s">
        <v>77</v>
      </c>
      <c r="D7" t="s">
        <v>67</v>
      </c>
      <c r="E7" t="s">
        <v>72</v>
      </c>
    </row>
    <row r="8" spans="1:6" x14ac:dyDescent="0.25">
      <c r="A8">
        <v>6</v>
      </c>
      <c r="B8" t="s">
        <v>76</v>
      </c>
      <c r="D8" t="s">
        <v>105</v>
      </c>
      <c r="E8" t="s">
        <v>106</v>
      </c>
      <c r="F8" t="s">
        <v>108</v>
      </c>
    </row>
    <row r="9" spans="1:6" x14ac:dyDescent="0.25">
      <c r="A9">
        <v>7</v>
      </c>
      <c r="B9" t="s">
        <v>71</v>
      </c>
      <c r="D9" t="s">
        <v>107</v>
      </c>
      <c r="E9" t="s">
        <v>109</v>
      </c>
      <c r="F9" t="s">
        <v>110</v>
      </c>
    </row>
    <row r="15" spans="1:6" x14ac:dyDescent="0.25">
      <c r="B15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G15"/>
  <sheetViews>
    <sheetView workbookViewId="0">
      <selection activeCell="E2" sqref="E2"/>
    </sheetView>
  </sheetViews>
  <sheetFormatPr defaultRowHeight="16.5" x14ac:dyDescent="0.25"/>
  <cols>
    <col min="1" max="1" width="6.42578125" style="3" bestFit="1" customWidth="1"/>
    <col min="2" max="2" width="16.42578125" bestFit="1" customWidth="1"/>
  </cols>
  <sheetData>
    <row r="1" spans="1:7" x14ac:dyDescent="0.25">
      <c r="A1" s="3" t="s">
        <v>6</v>
      </c>
      <c r="B1" t="s">
        <v>7</v>
      </c>
      <c r="C1" t="s">
        <v>23</v>
      </c>
      <c r="D1" t="s">
        <v>26</v>
      </c>
      <c r="E1" t="s">
        <v>27</v>
      </c>
      <c r="F1" t="s">
        <v>30</v>
      </c>
      <c r="G1" t="s">
        <v>86</v>
      </c>
    </row>
    <row r="2" spans="1:7" x14ac:dyDescent="0.25">
      <c r="A2" s="3">
        <v>0</v>
      </c>
      <c r="B2" t="s">
        <v>14</v>
      </c>
      <c r="C2" t="s">
        <v>24</v>
      </c>
      <c r="D2" t="s">
        <v>24</v>
      </c>
      <c r="E2" t="s">
        <v>25</v>
      </c>
      <c r="F2" t="s">
        <v>24</v>
      </c>
      <c r="G2" t="s">
        <v>24</v>
      </c>
    </row>
    <row r="3" spans="1:7" x14ac:dyDescent="0.25">
      <c r="A3" s="3" t="s">
        <v>0</v>
      </c>
      <c r="B3" t="s">
        <v>8</v>
      </c>
      <c r="C3" t="s">
        <v>25</v>
      </c>
      <c r="D3" t="s">
        <v>25</v>
      </c>
      <c r="E3" t="s">
        <v>24</v>
      </c>
      <c r="F3" t="s">
        <v>24</v>
      </c>
      <c r="G3" t="s">
        <v>24</v>
      </c>
    </row>
    <row r="4" spans="1:7" x14ac:dyDescent="0.25">
      <c r="A4" s="3" t="s">
        <v>4</v>
      </c>
      <c r="B4" t="s">
        <v>9</v>
      </c>
      <c r="C4" t="s">
        <v>25</v>
      </c>
      <c r="D4" t="s">
        <v>25</v>
      </c>
      <c r="E4" t="s">
        <v>24</v>
      </c>
      <c r="F4" t="s">
        <v>24</v>
      </c>
      <c r="G4" t="s">
        <v>24</v>
      </c>
    </row>
    <row r="5" spans="1:7" x14ac:dyDescent="0.25">
      <c r="A5" s="3" t="s">
        <v>1</v>
      </c>
      <c r="B5" t="s">
        <v>10</v>
      </c>
      <c r="C5" t="s">
        <v>24</v>
      </c>
      <c r="D5" t="s">
        <v>25</v>
      </c>
      <c r="E5" t="s">
        <v>24</v>
      </c>
      <c r="F5" t="s">
        <v>24</v>
      </c>
      <c r="G5" t="s">
        <v>24</v>
      </c>
    </row>
    <row r="6" spans="1:7" x14ac:dyDescent="0.25">
      <c r="A6" s="3" t="s">
        <v>2</v>
      </c>
      <c r="B6" t="s">
        <v>11</v>
      </c>
      <c r="C6" t="s">
        <v>24</v>
      </c>
      <c r="D6" t="s">
        <v>25</v>
      </c>
      <c r="E6" t="s">
        <v>25</v>
      </c>
      <c r="F6" t="s">
        <v>24</v>
      </c>
      <c r="G6" t="s">
        <v>24</v>
      </c>
    </row>
    <row r="7" spans="1:7" x14ac:dyDescent="0.25">
      <c r="A7" s="3" t="s">
        <v>3</v>
      </c>
      <c r="B7" t="s">
        <v>12</v>
      </c>
      <c r="C7" t="s">
        <v>24</v>
      </c>
      <c r="D7" t="s">
        <v>25</v>
      </c>
      <c r="E7" t="s">
        <v>25</v>
      </c>
      <c r="F7" t="s">
        <v>24</v>
      </c>
      <c r="G7" t="s">
        <v>24</v>
      </c>
    </row>
    <row r="8" spans="1:7" x14ac:dyDescent="0.25">
      <c r="A8" s="3" t="s">
        <v>5</v>
      </c>
      <c r="B8" t="s">
        <v>13</v>
      </c>
      <c r="C8" t="s">
        <v>25</v>
      </c>
      <c r="D8" t="s">
        <v>25</v>
      </c>
      <c r="E8" t="s">
        <v>25</v>
      </c>
      <c r="F8" t="s">
        <v>24</v>
      </c>
      <c r="G8" t="s">
        <v>24</v>
      </c>
    </row>
    <row r="9" spans="1:7" x14ac:dyDescent="0.25">
      <c r="A9" s="3" t="s">
        <v>19</v>
      </c>
      <c r="B9" t="s">
        <v>20</v>
      </c>
      <c r="C9" t="s">
        <v>24</v>
      </c>
      <c r="D9" t="s">
        <v>25</v>
      </c>
      <c r="E9" t="s">
        <v>24</v>
      </c>
      <c r="F9" t="s">
        <v>24</v>
      </c>
      <c r="G9" t="s">
        <v>24</v>
      </c>
    </row>
    <row r="10" spans="1:7" x14ac:dyDescent="0.25">
      <c r="A10" s="3" t="s">
        <v>21</v>
      </c>
      <c r="B10" t="s">
        <v>22</v>
      </c>
      <c r="C10" t="s">
        <v>25</v>
      </c>
      <c r="D10" t="s">
        <v>25</v>
      </c>
      <c r="E10" t="s">
        <v>24</v>
      </c>
      <c r="F10" t="s">
        <v>24</v>
      </c>
      <c r="G10" t="s">
        <v>24</v>
      </c>
    </row>
    <row r="12" spans="1:7" x14ac:dyDescent="0.25">
      <c r="A12" s="3" t="s">
        <v>58</v>
      </c>
      <c r="B12" t="s">
        <v>90</v>
      </c>
      <c r="C12" t="s">
        <v>24</v>
      </c>
      <c r="D12" t="s">
        <v>24</v>
      </c>
      <c r="E12" t="s">
        <v>25</v>
      </c>
      <c r="F12" t="s">
        <v>25</v>
      </c>
      <c r="G12" t="s">
        <v>25</v>
      </c>
    </row>
    <row r="13" spans="1:7" x14ac:dyDescent="0.25">
      <c r="A13" s="3" t="s">
        <v>59</v>
      </c>
      <c r="B13" t="s">
        <v>91</v>
      </c>
      <c r="C13" t="s">
        <v>24</v>
      </c>
      <c r="D13" t="s">
        <v>24</v>
      </c>
      <c r="E13" t="s">
        <v>25</v>
      </c>
      <c r="F13" t="s">
        <v>25</v>
      </c>
      <c r="G13" t="s">
        <v>25</v>
      </c>
    </row>
    <row r="14" spans="1:7" x14ac:dyDescent="0.25">
      <c r="A14" s="3" t="s">
        <v>60</v>
      </c>
      <c r="B14" t="s">
        <v>92</v>
      </c>
      <c r="C14" t="s">
        <v>24</v>
      </c>
      <c r="D14" t="s">
        <v>24</v>
      </c>
      <c r="E14" t="s">
        <v>25</v>
      </c>
      <c r="F14" t="s">
        <v>25</v>
      </c>
      <c r="G14" t="s">
        <v>25</v>
      </c>
    </row>
    <row r="15" spans="1:7" x14ac:dyDescent="0.25">
      <c r="A15" s="3" t="s">
        <v>45</v>
      </c>
      <c r="B15" t="s">
        <v>61</v>
      </c>
      <c r="C15" t="s">
        <v>24</v>
      </c>
      <c r="D15" t="s">
        <v>24</v>
      </c>
      <c r="E15" t="s">
        <v>25</v>
      </c>
      <c r="F15" t="s">
        <v>25</v>
      </c>
      <c r="G15" t="s">
        <v>25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4376-F190-41D3-ACAB-06DF87696190}">
  <dimension ref="A1:B4"/>
  <sheetViews>
    <sheetView workbookViewId="0">
      <selection activeCell="M14" sqref="M14"/>
    </sheetView>
  </sheetViews>
  <sheetFormatPr defaultRowHeight="15" x14ac:dyDescent="0.25"/>
  <cols>
    <col min="2" max="2" width="10.85546875" bestFit="1" customWidth="1"/>
  </cols>
  <sheetData>
    <row r="1" spans="1:2" x14ac:dyDescent="0.25">
      <c r="A1" t="s">
        <v>111</v>
      </c>
      <c r="B1" t="s">
        <v>116</v>
      </c>
    </row>
    <row r="2" spans="1:2" x14ac:dyDescent="0.25">
      <c r="A2" t="s">
        <v>112</v>
      </c>
      <c r="B2" t="s">
        <v>79</v>
      </c>
    </row>
    <row r="3" spans="1:2" x14ac:dyDescent="0.25">
      <c r="A3" t="s">
        <v>113</v>
      </c>
      <c r="B3" t="s">
        <v>115</v>
      </c>
    </row>
    <row r="4" spans="1:2" x14ac:dyDescent="0.25">
      <c r="A4" t="s">
        <v>114</v>
      </c>
      <c r="B4" t="s">
        <v>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M64"/>
  <sheetViews>
    <sheetView zoomScaleNormal="100" workbookViewId="0">
      <selection activeCell="BM1" sqref="BM1:BM1048576"/>
    </sheetView>
  </sheetViews>
  <sheetFormatPr defaultRowHeight="15" x14ac:dyDescent="0.25"/>
  <cols>
    <col min="1" max="64" width="2.5703125" style="2" bestFit="1" customWidth="1"/>
    <col min="65" max="65" width="76.42578125" style="1" bestFit="1" customWidth="1"/>
  </cols>
  <sheetData>
    <row r="1" spans="1:65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 s="1" t="str">
        <f>_xlfn.TEXTJOIN("",TRUE,A1:BL1)</f>
        <v>XXXXXXXXXXXXXXXXXXXXXXXXXXXXXXXXXXXXXXXXXXXXXXXXXXXXXXXXXXXXXXXX</v>
      </c>
    </row>
    <row r="2" spans="1:65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45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 s="1" t="str">
        <f t="shared" ref="BM2:BM64" si="0">_xlfn.TEXTJOIN("",TRUE,A2:BL2)</f>
        <v>XXXXXXXXXXXXXXXXXXXXXXXXXXX0000D0C00A00A00XXXXXXXXXXXXXXXXXXXXXX</v>
      </c>
    </row>
    <row r="3" spans="1:65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19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 s="1" t="str">
        <f t="shared" si="0"/>
        <v>XXXXXXXXXXXXXXXXXXXXXXXXXXXAXBXXXSXXXXXXXXXXXXXXXXXXXXXXXXXXXXXX</v>
      </c>
    </row>
    <row r="4" spans="1:65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 s="1" t="str">
        <f t="shared" si="0"/>
        <v>XXXXXXXXXXXXXXXXXXXXXXXXX00000XXX0XXXXXXXXXXXXXXXXXXXXXXXXXXXXXX</v>
      </c>
    </row>
    <row r="5" spans="1:65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58</v>
      </c>
      <c r="AB5" s="2">
        <v>0</v>
      </c>
      <c r="AC5" s="2" t="s">
        <v>59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 s="1" t="str">
        <f t="shared" si="0"/>
        <v>XXXXXXXXXXXXXXXXXXXXXXXXX0E0F0XXXSXXXXXXXXXXXXXXXXXXXXXXXXXXXXXX</v>
      </c>
    </row>
    <row r="6" spans="1:65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 s="1" t="str">
        <f t="shared" si="0"/>
        <v>XXXXXXXXXXXXXXXXXXX00000D00000D0A00XXXXXXXXXXXXXXXXXXXXXXXXXXXXX</v>
      </c>
    </row>
    <row r="7" spans="1:65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0</v>
      </c>
      <c r="AA7" s="2">
        <v>0</v>
      </c>
      <c r="AB7" s="2" t="s">
        <v>60</v>
      </c>
      <c r="AC7" s="2">
        <v>0</v>
      </c>
      <c r="AD7" s="2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 s="1" t="str">
        <f t="shared" si="0"/>
        <v>XXXXXXXXXXXXXXXXXXXXXX0XX00G00XXXX0XXXXXXXXXXXXXXXXXXXXXXXXXXXXX</v>
      </c>
    </row>
    <row r="8" spans="1:65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 s="1" t="str">
        <f t="shared" si="0"/>
        <v>XXXXXXXXXXXXXXXXXXXXXX0XXXX0XXXXXXAXXXXXXXXXXXXXXXXXXXXXXXXXXXXX</v>
      </c>
    </row>
    <row r="9" spans="1:65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 s="1" t="str">
        <f t="shared" si="0"/>
        <v>XXXXXXXXXXXXXXXXXXXXXX0XXXXDXXXXXX0XXXXXXXXXXXXXXXXXXXXXXXXXXXXX</v>
      </c>
    </row>
    <row r="10" spans="1:65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 s="1" t="str">
        <f t="shared" si="0"/>
        <v>XXXXXXXXXXXXXXXXXXXXXXAXXXX0XXXXXX0XXXXXXXXXXXXXXXXXXXXXXXXXXXXX</v>
      </c>
    </row>
    <row r="11" spans="1:65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 s="1" t="str">
        <f t="shared" si="0"/>
        <v>XXXXXXXXXXXXXXXXXXXXXX000X000XXXXXAXXXXXXXXXXXXXXXXXXXXXXXXXXXXX</v>
      </c>
    </row>
    <row r="12" spans="1:65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>
        <v>0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 s="1" t="str">
        <f t="shared" si="0"/>
        <v>XXXXXXXXXXXXXXXXXXXXXX000W0P0XXXXX0XXXXXXXXXXXXXXXXXXXXXXXXXXXXX</v>
      </c>
    </row>
    <row r="13" spans="1:65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 s="1" t="str">
        <f t="shared" si="0"/>
        <v>XXXXXXXXXXXXXXXXXXXXXX000X000XXXXX0XXXXXXXXXXXXXXXXXXXXXXXXXXXXX</v>
      </c>
    </row>
    <row r="14" spans="1:65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0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 s="1" t="str">
        <f t="shared" si="0"/>
        <v>XXXXXXXXXXXXXXXXXXXXXXXXXXXXXXXXXXXXXXXXXXXXXXXXXXXXXXXXXXXXXXXX</v>
      </c>
    </row>
    <row r="15" spans="1:65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 t="s">
        <v>0</v>
      </c>
      <c r="X15" s="2" t="s">
        <v>0</v>
      </c>
      <c r="Y15" s="2" t="s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 s="1" t="str">
        <f t="shared" si="0"/>
        <v>XXXXXXXXXXXXXXXXXXXXXXXXXXXXXXXXXXXXXXXXXXXXXXXXXXXXXXXXXXXXXXXX</v>
      </c>
    </row>
    <row r="16" spans="1:65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 t="s">
        <v>0</v>
      </c>
      <c r="X16" s="2" t="s">
        <v>0</v>
      </c>
      <c r="Y16" s="2" t="s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 s="1" t="str">
        <f t="shared" si="0"/>
        <v>XXXXXXXXXXXXXXXXXXXXXXXXXXXXXXXXXXXXXXXXXXXXXXXXXXXXXXXXXXXXXXXX</v>
      </c>
    </row>
    <row r="17" spans="1:65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 t="s">
        <v>0</v>
      </c>
      <c r="X17" s="2" t="s">
        <v>0</v>
      </c>
      <c r="Y17" s="2" t="s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 s="1" t="str">
        <f t="shared" si="0"/>
        <v>XXXXXXXXXXXXXXXXXXXXXXXXXXXXXXXXXXXXXXXXXXXXXXXXXXXXXXXXXXXXXXXX</v>
      </c>
    </row>
    <row r="18" spans="1:65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 s="1" t="str">
        <f t="shared" si="0"/>
        <v>XXXXXXXXXXXXXXXXXXXXXXXXXXXXXXXXXXXXXXXXXXXXXXXXXXXXXXXXXXXXXXXX</v>
      </c>
    </row>
    <row r="19" spans="1:65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 s="1" t="str">
        <f t="shared" si="0"/>
        <v>XXXXXXXXXXXXXXXXXXXXXXXXXXXXXXXXXXXXXXXXXXXXXXXXXXXXXXXXXXXXXXXX</v>
      </c>
    </row>
    <row r="20" spans="1:65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 s="1" t="str">
        <f t="shared" si="0"/>
        <v>XXXXXXXXXXXXXXXXXXXXXXXXXXXXXXXXXXXXXXXXXXXXXXXXXXXXXXXXXXXXXXXX</v>
      </c>
    </row>
    <row r="21" spans="1:65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 s="1" t="str">
        <f t="shared" si="0"/>
        <v>XXXXXXXXXXXXXXXXXXXXXXXXXXXXXXXXXXXXXXXXXXXXXXXXXXXXXXXXXXXXXXXX</v>
      </c>
    </row>
    <row r="22" spans="1:65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 s="1" t="str">
        <f t="shared" si="0"/>
        <v>XXXXXXXXXXXXXXXXXXXXXXXXXXXXXXXXXXXXXXXXXXXXXXXXXXXXXXXXXXXXXXXX</v>
      </c>
    </row>
    <row r="23" spans="1:65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 s="1" t="str">
        <f t="shared" si="0"/>
        <v>XXXXXXXXXXXXXXXXXXXXXXXXXXXXXXXXXXXXXXXXXXXXXXXXXXXXXXXXXXXXXXXX</v>
      </c>
    </row>
    <row r="24" spans="1:65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 s="1" t="str">
        <f t="shared" si="0"/>
        <v>XXXXXXXXXXXXXXXXXXXXXXXXXXXXXXXXXXXXXXXXXXXXXXXXXXXXXXXXXXXXXXXX</v>
      </c>
    </row>
    <row r="25" spans="1:65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 s="1" t="str">
        <f t="shared" si="0"/>
        <v>XXXXXXXXXXXXXXXXXXXXXXXXXXXXXXXXXXXXXXXXXXXXXXXXXXXXXXXXXXXXXXXX</v>
      </c>
    </row>
    <row r="26" spans="1:65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 s="1" t="str">
        <f t="shared" si="0"/>
        <v>XXXXXXXXXXXXXXXXXXXXXXXXXXXXXXXXXXXXXXXXXXXXXXXXXXXXXXXXXXXXXXXX</v>
      </c>
    </row>
    <row r="27" spans="1:65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 s="1" t="str">
        <f t="shared" si="0"/>
        <v>XXXXXXXXXXXXXXXXXXXXXXXXXXXXXXXXXXXXXXXXXXXXXXXXXXXXXXXXXXXXXXXX</v>
      </c>
    </row>
    <row r="28" spans="1:65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 s="1" t="str">
        <f t="shared" si="0"/>
        <v>XXXXXXXXXXXXXXXXXXXXXXXXXXXXXXXXXXXXXXXXXXXXXXXXXXXXXXXXXXXXXXXX</v>
      </c>
    </row>
    <row r="29" spans="1:65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 s="1" t="str">
        <f t="shared" si="0"/>
        <v>XXXXXXXXXXXXXXXXXXXXXXXXXXXXXXXXXXXXXXXXXXXXXXXXXXXXXXXXXXXXXXXX</v>
      </c>
    </row>
    <row r="30" spans="1:65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 s="1" t="str">
        <f t="shared" si="0"/>
        <v>XXXXXXXXXXXXXXXXXXXXXXXXXXXXXXXXXXXXXXXXXXXXXXXXXXXXXXXXXXXXXXXX</v>
      </c>
    </row>
    <row r="31" spans="1:65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 s="1" t="str">
        <f t="shared" si="0"/>
        <v>XXXXXXXXXXXXXXXXXXXXXXXXXXXXXXXXXXXXXXXXXXXXXXXXXXXXXXXXXXXXXXXX</v>
      </c>
    </row>
    <row r="32" spans="1:65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 s="1" t="str">
        <f t="shared" si="0"/>
        <v>XXXXXXXXXXXXXXXXXXXXXXXXXXXXXXXXXXXXXXXXXXXXXXXXXXXXXXXXXXXXXXXX</v>
      </c>
    </row>
    <row r="33" spans="1:65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 s="1" t="str">
        <f t="shared" si="0"/>
        <v>XXXXXXXXXXXXXXXXXXXXXXXXXXXXXXXXXXXXXXXXXXXXXXXXXXXXXXXXXXXXXXXX</v>
      </c>
    </row>
    <row r="34" spans="1:65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 s="1" t="str">
        <f t="shared" si="0"/>
        <v>XXXXXXXXXXXXXXXXXXXXXXXXXXXXXXXXXXXXXXXXXXXXXXXXXXXXXXXXXXXXXXXX</v>
      </c>
    </row>
    <row r="35" spans="1:65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 s="1" t="str">
        <f t="shared" si="0"/>
        <v>XXXXXXXXXXXXXXXXXXXXXXXXXXXXXXXXXXXXXXXXXXXXXXXXXXXXXXXXXXXXXXXX</v>
      </c>
    </row>
    <row r="36" spans="1:65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 s="1" t="str">
        <f t="shared" si="0"/>
        <v>XXXXXXXXXXXXXXXXXXXXXXXXXXXXXXXXXXXXXXXXXXXXXXXXXXXXXXXXXXXXXXXX</v>
      </c>
    </row>
    <row r="37" spans="1:65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 s="1" t="str">
        <f t="shared" si="0"/>
        <v>XXXXXXXXXXXXXXXXXXXXXXXXXXXXXXXXXXXXXXXXXXXXXXXXXXXXXXXXXXXXXXXX</v>
      </c>
    </row>
    <row r="38" spans="1:65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 s="1" t="str">
        <f t="shared" si="0"/>
        <v>XXXXXXXXXXXXXXXXXXXXXXXXXXXXXXXXXXXXXXXXXXXXXXXXXXXXXXXXXXXXXXXX</v>
      </c>
    </row>
    <row r="39" spans="1:65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 s="1" t="str">
        <f t="shared" si="0"/>
        <v>XXXXXXXXXXXXXXXXXXXXXXXXXXXXXXXXXXXXXXXXXXXXXXXXXXXXXXXXXXXXXXXX</v>
      </c>
    </row>
    <row r="40" spans="1:65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 s="1" t="str">
        <f t="shared" si="0"/>
        <v>XXXXXXXXXXXXXXXXXXXXXXXXXXXXXXXXXXXXXXXXXXXXXXXXXXXXXXXXXXXXXXXX</v>
      </c>
    </row>
    <row r="41" spans="1:65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 s="1" t="str">
        <f t="shared" si="0"/>
        <v>XXXXXXXXXXXXXXXXXXXXXXXXXXXXXXXXXXXXXXXXXXXXXXXXXXXXXXXXXXXXXXXX</v>
      </c>
    </row>
    <row r="42" spans="1:65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 s="1" t="str">
        <f t="shared" si="0"/>
        <v>XXXXXXXXXXXXXXXXXXXXXXXXXXXXXXXXXXXXXXXXXXXXXXXXXXXXXXXXXXXXXXXX</v>
      </c>
    </row>
    <row r="43" spans="1:65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 s="1" t="str">
        <f t="shared" si="0"/>
        <v>XXXXXXXXXXXXXXXXXXXXXXXXXXXXXXXXXXXXXXXXXXXXXXXXXXXXXXXXXXXXXXXX</v>
      </c>
    </row>
    <row r="44" spans="1:65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 s="1" t="str">
        <f t="shared" si="0"/>
        <v>XXXXXXXXXXXXXXXXXXXXXXXXXXXXXXXXXXXXXXXXXXXXXXXXXXXXXXXXXXXXXXXX</v>
      </c>
    </row>
    <row r="45" spans="1:65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 s="1" t="str">
        <f t="shared" si="0"/>
        <v>XXXXXXXXXXXXXXXXXXXXXXXXXXXXXXXXXXXXXXXXXXXXXXXXXXXXXXXXXXXXXXXX</v>
      </c>
    </row>
    <row r="46" spans="1:65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 s="1" t="str">
        <f t="shared" si="0"/>
        <v>XXXXXXXXXXXXXXXXXXXXXXXXXXXXXXXXXXXXXXXXXXXXXXXXXXXXXXXXXXXXXXXX</v>
      </c>
    </row>
    <row r="47" spans="1:65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 s="1" t="str">
        <f t="shared" si="0"/>
        <v>XXXXXXXXXXXXXXXXXXXXXXXXXXXXXXXXXXXXXXXXXXXXXXXXXXXXXXXXXXXXXXXX</v>
      </c>
    </row>
    <row r="48" spans="1:65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 s="1" t="str">
        <f t="shared" si="0"/>
        <v>XXXXXXXXXXXXXXXXXXXXXXXXXXXXXXXXXXXXXXXXXXXXXXXXXXXXXXXXXXXXXXXX</v>
      </c>
    </row>
    <row r="49" spans="1:65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 s="1" t="str">
        <f t="shared" si="0"/>
        <v>XXXXXXXXXXXXXXXXXXXXXXXXXXXXXXXXXXXXXXXXXXXXXXXXXXXXXXXXXXXXXXXX</v>
      </c>
    </row>
    <row r="50" spans="1:65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 s="1" t="str">
        <f t="shared" si="0"/>
        <v>XXXXXXXXXXXXXXXXXXXXXXXXXXXXXXXXXXXXXXXXXXXXXXXXXXXXXXXXXXXXXXXX</v>
      </c>
    </row>
    <row r="51" spans="1:65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 s="1" t="str">
        <f t="shared" si="0"/>
        <v>XXXXXXXXXXXXXXXXXXXXXXXXXXXXXXXXXXXXXXXXXXXXXXXXXXXXXXXXXXXXXXXX</v>
      </c>
    </row>
    <row r="52" spans="1:65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 s="1" t="str">
        <f t="shared" si="0"/>
        <v>XXXXXXXXXXXXXXXXXXXXXXXXXXXXXXXXXXXXXXXXXXXXXXXXXXXXXXXXXXXXXXXX</v>
      </c>
    </row>
    <row r="53" spans="1:65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 s="1" t="str">
        <f t="shared" si="0"/>
        <v>XXXXXXXXXXXXXXXXXXXXXXXXXXXXXXXXXXXXXXXXXXXXXXXXXXXXXXXXXXXXXXXX</v>
      </c>
    </row>
    <row r="54" spans="1:65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 s="1" t="str">
        <f t="shared" si="0"/>
        <v>XXXXXXXXXXXXXXXXXXXXXXXXXXXXXXXXXXXXXXXXXXXXXXXXXXXXXXXXXXXXXXXX</v>
      </c>
    </row>
    <row r="55" spans="1:65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 s="1" t="str">
        <f t="shared" si="0"/>
        <v>XXXXXXXXXXXXXXXXXXXXXXXXXXXXXXXXXXXXXXXXXXXXXXXXXXXXXXXXXXXXXXXX</v>
      </c>
    </row>
    <row r="56" spans="1:65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 s="1" t="str">
        <f t="shared" si="0"/>
        <v>XXXXXXXXXXXXXXXXXXXXXXXXXXXXXXXXXXXXXXXXXXXXXXXXXXXXXXXXXXXXXXXX</v>
      </c>
    </row>
    <row r="57" spans="1:65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 s="1" t="str">
        <f t="shared" si="0"/>
        <v>XXXXXXXXXXXXXXXXXXXXXXXXXXXXXXXXXXXXXXXXXXXXXXXXXXXXXXXXXXXXXXXX</v>
      </c>
    </row>
    <row r="58" spans="1:65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 s="1" t="str">
        <f t="shared" si="0"/>
        <v>XXXXXXXXXXXXXXXXXXXXXXXXXXXXXXXXXXXXXXXXXXXXXXXXXXXXXXXXXXXXXXXX</v>
      </c>
    </row>
    <row r="59" spans="1:65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 s="1" t="str">
        <f t="shared" si="0"/>
        <v>XXXXXXXXXXXXXXXXXXXXXXXXXXXXXXXXXXXXXXXXXXXXXXXXXXXXXXXXXXXXXXXX</v>
      </c>
    </row>
    <row r="60" spans="1:65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 s="1" t="str">
        <f t="shared" si="0"/>
        <v>XXXXXXXXXXXXXXXXXXXXXXXXXXXXXXXXXXXXXXXXXXXXXXXXXXXXXXXXXXXXXXXX</v>
      </c>
    </row>
    <row r="61" spans="1:65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 s="1" t="str">
        <f t="shared" si="0"/>
        <v>XXXXXXXXXXXXXXXXXXXXXXXXXXXXXXXXXXXXXXXXXXXXXXXXXXXXXXXXXXXXXXXX</v>
      </c>
    </row>
    <row r="62" spans="1:65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 s="1" t="str">
        <f t="shared" si="0"/>
        <v>XXXXXXXXXXXXXXXXXXXXXXXXXXXXXXXXXXXXXXXXXXXXXXXXXXXXXXXXXXXXXXXX</v>
      </c>
    </row>
    <row r="63" spans="1:65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 s="1" t="str">
        <f t="shared" si="0"/>
        <v>XXXXXXXXXXXXXXXXXXXXXXXXXXXXXXXXXXXXXXXXXXXXXXXXXXXXXXXXXXXXXXXX</v>
      </c>
    </row>
    <row r="64" spans="1:65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 s="1" t="str">
        <f t="shared" si="0"/>
        <v>XXXXXXXXXXXXXXXXXXXXXXXXXXXXXXXXXXXXXXXXXXXXXXXXXXXXXXXXXXXXXXXX</v>
      </c>
    </row>
  </sheetData>
  <conditionalFormatting sqref="A1:BL64">
    <cfRule type="containsText" dxfId="9" priority="11" operator="containsText" text="X">
      <formula>NOT(ISERROR(SEARCH("X",A1)))</formula>
    </cfRule>
  </conditionalFormatting>
  <conditionalFormatting sqref="A1:BL1048576">
    <cfRule type="cellIs" dxfId="8" priority="1" operator="equal">
      <formula>"G"</formula>
    </cfRule>
    <cfRule type="cellIs" dxfId="7" priority="2" operator="equal">
      <formula>"F"</formula>
    </cfRule>
    <cfRule type="cellIs" dxfId="6" priority="3" operator="equal">
      <formula>"E"</formula>
    </cfRule>
    <cfRule type="cellIs" dxfId="5" priority="5" operator="equal">
      <formula>"B"</formula>
    </cfRule>
    <cfRule type="cellIs" dxfId="4" priority="6" operator="equal">
      <formula>"C"</formula>
    </cfRule>
    <cfRule type="cellIs" dxfId="3" priority="7" operator="equal">
      <formula>"A"</formula>
    </cfRule>
    <cfRule type="cellIs" dxfId="2" priority="8" operator="equal">
      <formula>"D"</formula>
    </cfRule>
    <cfRule type="cellIs" dxfId="1" priority="9" operator="equal">
      <formula>"P"</formula>
    </cfRule>
    <cfRule type="cellIs" dxfId="0" priority="10" operator="equal">
      <formula>"W"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1:D14"/>
  <sheetViews>
    <sheetView workbookViewId="0">
      <selection activeCell="D9" sqref="D9"/>
    </sheetView>
  </sheetViews>
  <sheetFormatPr defaultRowHeight="15" x14ac:dyDescent="0.25"/>
  <cols>
    <col min="1" max="1" width="11.85546875" bestFit="1" customWidth="1"/>
    <col min="2" max="3" width="9.140625" style="5"/>
  </cols>
  <sheetData>
    <row r="1" spans="1:4" x14ac:dyDescent="0.25">
      <c r="B1" s="5" t="s">
        <v>88</v>
      </c>
      <c r="C1" s="5" t="s">
        <v>89</v>
      </c>
    </row>
    <row r="2" spans="1:4" x14ac:dyDescent="0.25">
      <c r="A2" t="s">
        <v>15</v>
      </c>
      <c r="B2" s="5">
        <f>256*160*2/8</f>
        <v>10240</v>
      </c>
    </row>
    <row r="3" spans="1:4" x14ac:dyDescent="0.25">
      <c r="A3" t="s">
        <v>16</v>
      </c>
      <c r="B3" s="5">
        <v>8192</v>
      </c>
    </row>
    <row r="4" spans="1:4" x14ac:dyDescent="0.25">
      <c r="A4" t="s">
        <v>53</v>
      </c>
      <c r="B4" s="5">
        <f>2*1024</f>
        <v>2048</v>
      </c>
    </row>
    <row r="5" spans="1:4" x14ac:dyDescent="0.25">
      <c r="A5" t="s">
        <v>54</v>
      </c>
      <c r="B5" s="5">
        <f>8*1024</f>
        <v>8192</v>
      </c>
    </row>
    <row r="6" spans="1:4" x14ac:dyDescent="0.25">
      <c r="A6" t="s">
        <v>55</v>
      </c>
      <c r="B6" s="5">
        <f>HEX2DEC("2000")</f>
        <v>8192</v>
      </c>
    </row>
    <row r="7" spans="1:4" x14ac:dyDescent="0.25">
      <c r="A7" t="s">
        <v>56</v>
      </c>
      <c r="B7" s="5">
        <v>4096</v>
      </c>
    </row>
    <row r="8" spans="1:4" x14ac:dyDescent="0.25">
      <c r="A8" t="s">
        <v>57</v>
      </c>
      <c r="B8" s="5">
        <v>1024</v>
      </c>
    </row>
    <row r="9" spans="1:4" x14ac:dyDescent="0.25">
      <c r="A9" t="s">
        <v>51</v>
      </c>
      <c r="C9" s="5">
        <f>1024*31</f>
        <v>31744</v>
      </c>
    </row>
    <row r="12" spans="1:4" x14ac:dyDescent="0.25">
      <c r="A12" t="s">
        <v>17</v>
      </c>
      <c r="B12" s="5">
        <f>SUM(B2:B8)</f>
        <v>41984</v>
      </c>
    </row>
    <row r="14" spans="1:4" x14ac:dyDescent="0.25">
      <c r="A14" t="s">
        <v>18</v>
      </c>
      <c r="B14" s="5">
        <f>65536-B12</f>
        <v>23552</v>
      </c>
      <c r="C14" s="5">
        <f>B12/65536</f>
        <v>0.640625</v>
      </c>
      <c r="D14" s="4">
        <f>B14/65536</f>
        <v>0.359375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A7" sqref="A7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38</v>
      </c>
      <c r="C1" t="s">
        <v>43</v>
      </c>
      <c r="D1" t="s">
        <v>42</v>
      </c>
      <c r="F1" t="s">
        <v>38</v>
      </c>
      <c r="G1" t="s">
        <v>43</v>
      </c>
      <c r="H1" t="s">
        <v>42</v>
      </c>
      <c r="J1" t="s">
        <v>44</v>
      </c>
    </row>
    <row r="2" spans="1:12" x14ac:dyDescent="0.25">
      <c r="A2" t="s">
        <v>39</v>
      </c>
      <c r="B2">
        <v>16</v>
      </c>
      <c r="D2">
        <f>1000/B2</f>
        <v>62.5</v>
      </c>
      <c r="F2">
        <v>630</v>
      </c>
      <c r="G2">
        <v>10</v>
      </c>
      <c r="H2">
        <f>1000/G2</f>
        <v>100</v>
      </c>
      <c r="J2">
        <f>F2/B2</f>
        <v>39.375</v>
      </c>
      <c r="L2">
        <f>F2/40</f>
        <v>15.75</v>
      </c>
    </row>
    <row r="3" spans="1:12" x14ac:dyDescent="0.25">
      <c r="A3" t="s">
        <v>40</v>
      </c>
      <c r="B3">
        <v>640</v>
      </c>
      <c r="C3">
        <v>16</v>
      </c>
      <c r="D3">
        <f>1000/B3</f>
        <v>1.5625</v>
      </c>
      <c r="F3">
        <v>790</v>
      </c>
      <c r="G3">
        <v>30</v>
      </c>
      <c r="H3">
        <f>1000/G3</f>
        <v>33.333333333333336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41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F12"/>
  <sheetViews>
    <sheetView workbookViewId="0">
      <selection activeCell="C12" sqref="C12"/>
    </sheetView>
  </sheetViews>
  <sheetFormatPr defaultRowHeight="15" x14ac:dyDescent="0.25"/>
  <cols>
    <col min="1" max="1" width="13.7109375" bestFit="1" customWidth="1"/>
    <col min="3" max="3" width="9.140625" style="4"/>
  </cols>
  <sheetData>
    <row r="1" spans="1:6" x14ac:dyDescent="0.25">
      <c r="B1" t="s">
        <v>45</v>
      </c>
      <c r="E1" t="s">
        <v>43</v>
      </c>
      <c r="F1" t="s">
        <v>50</v>
      </c>
    </row>
    <row r="2" spans="1:6" x14ac:dyDescent="0.25">
      <c r="A2" t="s">
        <v>39</v>
      </c>
      <c r="B2">
        <v>130</v>
      </c>
      <c r="E2">
        <f>B2/40</f>
        <v>3.25</v>
      </c>
      <c r="F2">
        <f>E2/3</f>
        <v>1.0833333333333333</v>
      </c>
    </row>
    <row r="3" spans="1:6" x14ac:dyDescent="0.25">
      <c r="A3" t="s">
        <v>46</v>
      </c>
      <c r="B3">
        <v>140</v>
      </c>
      <c r="C3" s="4">
        <f t="shared" ref="C3:C12" si="0">(B3/$B$2)-1</f>
        <v>7.6923076923076872E-2</v>
      </c>
      <c r="E3">
        <f t="shared" ref="E3:E12" si="1">B3/40</f>
        <v>3.5</v>
      </c>
      <c r="F3">
        <f t="shared" ref="F3:F12" si="2">E3/3</f>
        <v>1.1666666666666667</v>
      </c>
    </row>
    <row r="4" spans="1:6" x14ac:dyDescent="0.25">
      <c r="A4" t="s">
        <v>47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6" x14ac:dyDescent="0.25">
      <c r="A5" t="s">
        <v>48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6" x14ac:dyDescent="0.25">
      <c r="A6" t="s">
        <v>49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6" x14ac:dyDescent="0.25">
      <c r="A7" t="s">
        <v>51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6" x14ac:dyDescent="0.25">
      <c r="A8" t="s">
        <v>52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6" x14ac:dyDescent="0.25">
      <c r="A9" t="s">
        <v>52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  <row r="10" spans="1:6" x14ac:dyDescent="0.25">
      <c r="A10" t="s">
        <v>99</v>
      </c>
      <c r="B10">
        <v>600</v>
      </c>
      <c r="C10" s="4">
        <f t="shared" si="0"/>
        <v>3.615384615384615</v>
      </c>
      <c r="E10">
        <f t="shared" si="1"/>
        <v>15</v>
      </c>
      <c r="F10">
        <f t="shared" si="2"/>
        <v>5</v>
      </c>
    </row>
    <row r="11" spans="1:6" x14ac:dyDescent="0.25">
      <c r="A11" t="s">
        <v>100</v>
      </c>
      <c r="B11">
        <v>600</v>
      </c>
      <c r="C11" s="4">
        <f t="shared" si="0"/>
        <v>3.615384615384615</v>
      </c>
      <c r="E11">
        <f t="shared" si="1"/>
        <v>15</v>
      </c>
      <c r="F11">
        <f t="shared" si="2"/>
        <v>5</v>
      </c>
    </row>
    <row r="12" spans="1:6" x14ac:dyDescent="0.25">
      <c r="A12" t="s">
        <v>117</v>
      </c>
      <c r="B12">
        <v>610</v>
      </c>
      <c r="C12" s="4">
        <f t="shared" si="0"/>
        <v>3.6923076923076925</v>
      </c>
      <c r="E12">
        <f t="shared" si="1"/>
        <v>15.25</v>
      </c>
      <c r="F12">
        <f t="shared" si="2"/>
        <v>5.083333333333333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6B8BD-42FE-4B91-BDF5-11A7679F9A78}">
  <dimension ref="A1:E3"/>
  <sheetViews>
    <sheetView tabSelected="1" workbookViewId="0">
      <selection activeCell="B3" sqref="B3"/>
    </sheetView>
  </sheetViews>
  <sheetFormatPr defaultRowHeight="15" x14ac:dyDescent="0.25"/>
  <cols>
    <col min="1" max="1" width="9.42578125" bestFit="1" customWidth="1"/>
  </cols>
  <sheetData>
    <row r="1" spans="1:5" x14ac:dyDescent="0.25">
      <c r="B1" s="8" t="s">
        <v>121</v>
      </c>
      <c r="C1" s="8"/>
      <c r="D1" s="8" t="s">
        <v>43</v>
      </c>
      <c r="E1" s="8"/>
    </row>
    <row r="2" spans="1:5" x14ac:dyDescent="0.25">
      <c r="B2" t="s">
        <v>119</v>
      </c>
      <c r="C2" t="s">
        <v>120</v>
      </c>
      <c r="D2" t="s">
        <v>119</v>
      </c>
      <c r="E2" t="s">
        <v>120</v>
      </c>
    </row>
    <row r="3" spans="1:5" x14ac:dyDescent="0.25">
      <c r="A3" t="s">
        <v>118</v>
      </c>
    </row>
  </sheetData>
  <mergeCells count="2">
    <mergeCell ref="B1:C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Mapbits</vt:lpstr>
      <vt:lpstr>Sheet2</vt:lpstr>
      <vt:lpstr>AI States</vt:lpstr>
      <vt:lpstr>Tiles Type</vt:lpstr>
      <vt:lpstr>Weapons</vt:lpstr>
      <vt:lpstr>Level 1</vt:lpstr>
      <vt:lpstr>Memory Budget</vt:lpstr>
      <vt:lpstr>Performance</vt:lpstr>
      <vt:lpstr>Optimisation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2026-07-03T08:57:37Z</dcterms:modified>
</cp:coreProperties>
</file>