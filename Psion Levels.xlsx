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6833CB91-5610-44C2-8A02-77EC1AE21DAB}" xr6:coauthVersionLast="47" xr6:coauthVersionMax="47" xr10:uidLastSave="{00000000-0000-0000-0000-000000000000}"/>
  <bookViews>
    <workbookView xWindow="-120" yWindow="-120" windowWidth="29040" windowHeight="15720" activeTab="5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Optimisation" sheetId="7" r:id="rId8"/>
    <sheet name="Performance" sheetId="6" r:id="rId9"/>
    <sheet name="TIming" sheetId="11" r:id="rId10"/>
    <sheet name="Cheats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7" l="1"/>
  <c r="G14" i="7"/>
  <c r="F15" i="7"/>
  <c r="F14" i="7"/>
  <c r="F13" i="7"/>
  <c r="F15" i="11"/>
  <c r="E15" i="11"/>
  <c r="F11" i="11"/>
  <c r="H7" i="11"/>
  <c r="H13" i="11"/>
  <c r="E14" i="11"/>
  <c r="E13" i="11"/>
  <c r="D12" i="3"/>
  <c r="C12" i="3"/>
  <c r="E12" i="11" l="1"/>
  <c r="E11" i="11"/>
  <c r="C11" i="11"/>
  <c r="E10" i="11"/>
  <c r="C10" i="11"/>
  <c r="E9" i="11"/>
  <c r="C9" i="11"/>
  <c r="E8" i="11"/>
  <c r="C8" i="11"/>
  <c r="E7" i="11"/>
  <c r="C7" i="11"/>
  <c r="E6" i="11"/>
  <c r="C6" i="11"/>
  <c r="E5" i="11"/>
  <c r="C5" i="11"/>
  <c r="E4" i="11"/>
  <c r="C4" i="11"/>
  <c r="E3" i="11"/>
  <c r="C3" i="11"/>
  <c r="H3" i="6"/>
  <c r="H2" i="6"/>
  <c r="C12" i="7"/>
  <c r="E12" i="7"/>
  <c r="F12" i="7"/>
  <c r="F4" i="11" l="1"/>
  <c r="G4" i="11" s="1"/>
  <c r="F5" i="11"/>
  <c r="G5" i="11" s="1"/>
  <c r="F6" i="11"/>
  <c r="G6" i="11" s="1"/>
  <c r="F7" i="11"/>
  <c r="G7" i="11" s="1"/>
  <c r="F13" i="11"/>
  <c r="G13" i="11" s="1"/>
  <c r="G11" i="11"/>
  <c r="F10" i="11"/>
  <c r="G10" i="11" s="1"/>
  <c r="F8" i="11"/>
  <c r="G8" i="11" s="1"/>
  <c r="F9" i="11"/>
  <c r="F12" i="11"/>
  <c r="C11" i="7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<sst xmlns="http://schemas.openxmlformats.org/spreadsheetml/2006/main" count="4301" uniqueCount="183">
  <si>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</si>
  <si>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</si>
  <si>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</si>
  <si>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</si>
  <si>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</si>
  <si>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</si>
  <si>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</si>
  <si>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</si>
  <si>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</si>
  <si>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</si>
  <si>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</si>
  <si>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</si>
  <si>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</si>
  <si>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</si>
  <si>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</si>
  <si>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</si>
  <si>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</si>
  <si>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</si>
  <si>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</si>
  <si>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</si>
  <si>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</si>
  <si>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</si>
  <si>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</si>
  <si>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</si>
  <si>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</si>
  <si>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</si>
  <si>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</si>
  <si>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</si>
  <si>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</si>
  <si>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</si>
  <si>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</si>
  <si>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</si>
  <si>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</si>
  <si>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</si>
  <si>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</si>
  <si>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</si>
  <si>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</si>
  <si>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</si>
  <si>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</si>
  <si>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</si>
  <si>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</si>
  <si>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</si>
  <si>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</si>
  <si>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</si>
  <si>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</si>
  <si>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</si>
  <si>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</si>
  <si>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</si>
  <si>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</si>
  <si>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</si>
  <si>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</si>
  <si>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</si>
  <si>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</si>
  <si>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</si>
  <si>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</si>
  <si>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</si>
  <si>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</si>
  <si>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</si>
  <si>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</si>
  <si>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</si>
  <si>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</si>
  <si>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</si>
  <si>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</si>
  <si>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</si>
  <si>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</si>
  <si>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</si>
  <si>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</si>
  <si>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</si>
  <si>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</si>
  <si>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</si>
  <si>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</si>
  <si>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</si>
  <si>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</si>
  <si>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</si>
  <si>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</si>
  <si>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</si>
  <si>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</si>
  <si>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</si>
  <si>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</si>
  <si>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</si>
  <si>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</si>
  <si>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</si>
  <si>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</si>
  <si>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</si>
  <si>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</si>
  <si>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</si>
  <si>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</si>
  <si>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</si>
  <si>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</si>
  <si>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</si>
  <si>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</si>
  <si>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</si>
  <si>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</si>
  <si>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</si>
  <si>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</si>
  <si>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</si>
  <si>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</si>
  <si>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</si>
  <si>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</si>
  <si>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</si>
  <si>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</si>
  <si>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</si>
  <si>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</si>
  <si>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</si>
  <si>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</si>
  <si>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</si>
  <si>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</si>
  <si>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</si>
  <si>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</si>
  <si>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</si>
  <si>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</si>
  <si>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</si>
  <si>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</si>
  <si>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</si>
  <si>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</si>
  <si>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</si>
  <si>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</si>
  <si>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</si>
  <si>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</si>
  <si>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</si>
  <si>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Update Player</t>
  </si>
  <si>
    <t>RunAI</t>
  </si>
  <si>
    <t>ClrScreen</t>
  </si>
  <si>
    <t>Draw</t>
  </si>
  <si>
    <t>No Bricks</t>
  </si>
  <si>
    <t>No wallX</t>
  </si>
  <si>
    <t>All</t>
  </si>
  <si>
    <t>No Sprites</t>
  </si>
  <si>
    <t>No Gun</t>
  </si>
  <si>
    <t>Optimised Spr</t>
  </si>
  <si>
    <t>Gun sprite</t>
  </si>
  <si>
    <t>Clipped Spr</t>
  </si>
  <si>
    <t>H</t>
  </si>
  <si>
    <t>I</t>
  </si>
  <si>
    <t>J</t>
  </si>
  <si>
    <t>K</t>
  </si>
  <si>
    <t>L</t>
  </si>
  <si>
    <t>M</t>
  </si>
  <si>
    <t>O</t>
  </si>
  <si>
    <t>Q</t>
  </si>
  <si>
    <t>R</t>
  </si>
  <si>
    <t>T</t>
  </si>
  <si>
    <t>U</t>
  </si>
  <si>
    <t>Z</t>
  </si>
  <si>
    <t>MP5 Pickup</t>
  </si>
  <si>
    <t>AK47 Pickup</t>
  </si>
  <si>
    <t>M249 Pickup</t>
  </si>
  <si>
    <t>? Pickup</t>
  </si>
  <si>
    <t>Keycard Pickup</t>
  </si>
  <si>
    <t>Locked Door</t>
  </si>
  <si>
    <t>Pickups</t>
  </si>
  <si>
    <t>SOLID (default)</t>
  </si>
  <si>
    <t>DARK</t>
  </si>
  <si>
    <t>WINDOW</t>
  </si>
  <si>
    <t>ARCH</t>
  </si>
  <si>
    <t>UNLOCKED_DOOR</t>
  </si>
  <si>
    <t>BARS</t>
  </si>
  <si>
    <t>VOID</t>
  </si>
  <si>
    <t>LOCKED_DOOR</t>
  </si>
  <si>
    <t>!</t>
  </si>
  <si>
    <t>SIGN</t>
  </si>
  <si>
    <t>*</t>
  </si>
  <si>
    <t>LIGHT</t>
  </si>
  <si>
    <t>:</t>
  </si>
  <si>
    <t>PIPES</t>
  </si>
  <si>
    <t>#</t>
  </si>
  <si>
    <t>SHELF</t>
  </si>
  <si>
    <t>LOW</t>
  </si>
  <si>
    <t>|</t>
  </si>
  <si>
    <t>PILLAR</t>
  </si>
  <si>
    <t>SWITCH</t>
  </si>
  <si>
    <t>SHOOTABLE</t>
  </si>
  <si>
    <t>Decorations</t>
  </si>
  <si>
    <t>Camera</t>
  </si>
  <si>
    <t>Computer</t>
  </si>
  <si>
    <t>Reserved</t>
  </si>
  <si>
    <t>ID</t>
  </si>
  <si>
    <t>Map</t>
  </si>
  <si>
    <t>Item</t>
  </si>
  <si>
    <t>Invincibility</t>
  </si>
  <si>
    <t>All Weapons</t>
  </si>
  <si>
    <t>Inifinite Ammo</t>
  </si>
  <si>
    <t>? Decoration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</si>
</sst>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  <font>
      <b/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2" fontId="0" fillId="0" borderId="0" xfId="0" applyNumberFormat="1"/>
    <xf numFmtId="165" fontId="0" fillId="0" borderId="0" xfId="0" applyNumberFormat="1"/>
    <xf numFmtId="0" fontId="0" fillId="2" borderId="0" xfId="0" applyFill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11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X17"/>
  <sheetViews>
    <sheetView topLeftCell="B1" workbookViewId="0">
      <selection activeCell="W9" sqref="W2:X9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6.85546875" bestFit="1" customWidth="1"/>
    <col min="11" max="11" width="12.140625" bestFit="1" customWidth="1"/>
    <col min="12" max="12" width="2.5703125" bestFit="1" customWidth="1"/>
    <col min="13" max="13" width="3" bestFit="1" customWidth="1"/>
    <col min="14" max="14" width="10.140625" bestFit="1" customWidth="1"/>
    <col min="18" max="18" width="2.5703125" bestFit="1" customWidth="1"/>
    <col min="19" max="19" width="14.5703125" bestFit="1" customWidth="1"/>
    <col min="21" max="21" width="11.7109375" bestFit="1" customWidth="1"/>
    <col min="22" max="22" width="3" bestFit="1" customWidth="1"/>
    <col min="23" max="23" width="4.85546875" bestFit="1" customWidth="1"/>
    <col min="24" max="24" width="9.5703125" bestFit="1" customWidth="1"/>
  </cols>
  <sheetData>
    <row r="1" spans="1:24" ht="16.5" x14ac:dyDescent="0.25">
      <c r="A1" t="s">
        <v>32</v>
      </c>
      <c r="B1" t="s">
        <v>7</v>
      </c>
      <c r="F1" t="s">
        <v>93</v>
      </c>
      <c r="G1">
        <v>0</v>
      </c>
      <c r="H1" t="s">
        <v>0</v>
      </c>
      <c r="I1" t="s">
        <v>151</v>
      </c>
      <c r="K1" t="s">
        <v>94</v>
      </c>
      <c r="L1" s="3" t="s">
        <v>58</v>
      </c>
      <c r="M1">
        <v>0</v>
      </c>
      <c r="N1" t="s">
        <v>61</v>
      </c>
      <c r="P1" t="s">
        <v>150</v>
      </c>
      <c r="Q1">
        <v>0</v>
      </c>
      <c r="R1" s="3" t="s">
        <v>132</v>
      </c>
      <c r="S1" t="s">
        <v>144</v>
      </c>
      <c r="V1" t="s">
        <v>176</v>
      </c>
      <c r="W1" t="s">
        <v>177</v>
      </c>
      <c r="X1" t="s">
        <v>178</v>
      </c>
    </row>
    <row r="2" spans="1:24" ht="16.5" x14ac:dyDescent="0.25">
      <c r="A2">
        <v>15</v>
      </c>
      <c r="B2" t="s">
        <v>28</v>
      </c>
      <c r="C2" t="s">
        <v>33</v>
      </c>
      <c r="G2">
        <v>1</v>
      </c>
      <c r="H2" t="s">
        <v>4</v>
      </c>
      <c r="I2" t="s">
        <v>152</v>
      </c>
      <c r="L2" s="3" t="s">
        <v>59</v>
      </c>
      <c r="M2">
        <v>1</v>
      </c>
      <c r="N2" t="s">
        <v>79</v>
      </c>
      <c r="Q2">
        <v>1</v>
      </c>
      <c r="R2" s="3" t="s">
        <v>133</v>
      </c>
      <c r="S2" t="s">
        <v>145</v>
      </c>
      <c r="U2" t="s">
        <v>172</v>
      </c>
      <c r="V2">
        <v>0</v>
      </c>
      <c r="W2">
        <v>1</v>
      </c>
      <c r="X2" t="s">
        <v>173</v>
      </c>
    </row>
    <row r="3" spans="1:24" ht="16.5" x14ac:dyDescent="0.25">
      <c r="A3">
        <v>14</v>
      </c>
      <c r="B3" t="s">
        <v>23</v>
      </c>
      <c r="C3" t="s">
        <v>35</v>
      </c>
      <c r="G3">
        <v>2</v>
      </c>
      <c r="H3" t="s">
        <v>1</v>
      </c>
      <c r="I3" t="s">
        <v>153</v>
      </c>
      <c r="L3" s="3" t="s">
        <v>60</v>
      </c>
      <c r="M3">
        <v>2</v>
      </c>
      <c r="N3" t="s">
        <v>95</v>
      </c>
      <c r="Q3">
        <v>2</v>
      </c>
      <c r="R3" s="3" t="s">
        <v>134</v>
      </c>
      <c r="S3" t="s">
        <v>146</v>
      </c>
      <c r="V3">
        <v>1</v>
      </c>
      <c r="W3">
        <v>2</v>
      </c>
      <c r="X3" t="s">
        <v>174</v>
      </c>
    </row>
    <row r="4" spans="1:24" ht="16.5" x14ac:dyDescent="0.25">
      <c r="A4">
        <v>13</v>
      </c>
      <c r="B4" t="s">
        <v>26</v>
      </c>
      <c r="C4" t="s">
        <v>37</v>
      </c>
      <c r="G4">
        <v>3</v>
      </c>
      <c r="H4" t="s">
        <v>2</v>
      </c>
      <c r="I4" t="s">
        <v>154</v>
      </c>
      <c r="L4" s="3" t="s">
        <v>45</v>
      </c>
      <c r="M4">
        <v>3</v>
      </c>
      <c r="N4" t="s">
        <v>81</v>
      </c>
      <c r="Q4">
        <v>3</v>
      </c>
      <c r="R4" s="3" t="s">
        <v>135</v>
      </c>
      <c r="S4" t="s">
        <v>148</v>
      </c>
      <c r="V4">
        <v>2</v>
      </c>
      <c r="W4">
        <v>3</v>
      </c>
      <c r="X4" t="s">
        <v>175</v>
      </c>
    </row>
    <row r="5" spans="1:24" ht="16.5" x14ac:dyDescent="0.25">
      <c r="A5">
        <v>12</v>
      </c>
      <c r="B5" t="s">
        <v>30</v>
      </c>
      <c r="C5" t="s">
        <v>34</v>
      </c>
      <c r="G5">
        <v>4</v>
      </c>
      <c r="H5" t="s">
        <v>3</v>
      </c>
      <c r="I5" t="s">
        <v>155</v>
      </c>
      <c r="M5">
        <v>4</v>
      </c>
      <c r="Q5">
        <v>4</v>
      </c>
      <c r="R5" s="3" t="s">
        <v>136</v>
      </c>
      <c r="V5">
        <v>3</v>
      </c>
      <c r="W5">
        <v>4</v>
      </c>
      <c r="X5" t="s">
        <v>175</v>
      </c>
    </row>
    <row r="6" spans="1:24" ht="16.5" x14ac:dyDescent="0.25">
      <c r="A6">
        <v>11</v>
      </c>
      <c r="B6" t="s">
        <v>86</v>
      </c>
      <c r="C6" t="s">
        <v>87</v>
      </c>
      <c r="G6">
        <v>5</v>
      </c>
      <c r="H6" t="s">
        <v>5</v>
      </c>
      <c r="I6" t="s">
        <v>171</v>
      </c>
      <c r="M6">
        <v>5</v>
      </c>
      <c r="Q6">
        <v>5</v>
      </c>
      <c r="R6" s="3" t="s">
        <v>137</v>
      </c>
      <c r="V6">
        <v>4</v>
      </c>
      <c r="W6">
        <v>5</v>
      </c>
      <c r="X6" t="s">
        <v>175</v>
      </c>
    </row>
    <row r="7" spans="1:24" ht="16.5" x14ac:dyDescent="0.25">
      <c r="A7">
        <v>10</v>
      </c>
      <c r="B7" t="s">
        <v>29</v>
      </c>
      <c r="C7" t="s">
        <v>36</v>
      </c>
      <c r="G7">
        <v>6</v>
      </c>
      <c r="H7" t="s">
        <v>19</v>
      </c>
      <c r="I7" t="s">
        <v>156</v>
      </c>
      <c r="M7">
        <v>6</v>
      </c>
      <c r="Q7">
        <v>6</v>
      </c>
      <c r="R7" s="3" t="s">
        <v>24</v>
      </c>
      <c r="V7">
        <v>5</v>
      </c>
      <c r="W7">
        <v>6</v>
      </c>
      <c r="X7" t="s">
        <v>175</v>
      </c>
    </row>
    <row r="8" spans="1:24" ht="16.5" x14ac:dyDescent="0.25">
      <c r="A8">
        <v>9</v>
      </c>
      <c r="B8" s="13" t="s">
        <v>6</v>
      </c>
      <c r="G8">
        <v>7</v>
      </c>
      <c r="H8" t="s">
        <v>21</v>
      </c>
      <c r="I8" t="s">
        <v>157</v>
      </c>
      <c r="M8">
        <v>7</v>
      </c>
      <c r="Q8">
        <v>7</v>
      </c>
      <c r="R8" s="3" t="s">
        <v>138</v>
      </c>
      <c r="V8">
        <v>6</v>
      </c>
      <c r="W8">
        <v>7</v>
      </c>
      <c r="X8" t="s">
        <v>175</v>
      </c>
    </row>
    <row r="9" spans="1:24" x14ac:dyDescent="0.25">
      <c r="A9">
        <v>8</v>
      </c>
      <c r="B9" s="13"/>
      <c r="G9">
        <v>8</v>
      </c>
      <c r="H9" t="s">
        <v>141</v>
      </c>
      <c r="I9" t="s">
        <v>158</v>
      </c>
      <c r="M9">
        <v>8</v>
      </c>
      <c r="Q9">
        <v>8</v>
      </c>
      <c r="V9">
        <v>7</v>
      </c>
      <c r="W9">
        <v>8</v>
      </c>
      <c r="X9" t="s">
        <v>175</v>
      </c>
    </row>
    <row r="10" spans="1:24" x14ac:dyDescent="0.25">
      <c r="A10">
        <v>7</v>
      </c>
      <c r="B10" s="13"/>
      <c r="C10" s="6"/>
      <c r="G10">
        <v>9</v>
      </c>
      <c r="H10" t="s">
        <v>159</v>
      </c>
      <c r="I10" t="s">
        <v>160</v>
      </c>
      <c r="M10">
        <v>9</v>
      </c>
      <c r="Q10">
        <v>9</v>
      </c>
      <c r="V10">
        <v>8</v>
      </c>
    </row>
    <row r="11" spans="1:24" x14ac:dyDescent="0.25">
      <c r="A11">
        <v>6</v>
      </c>
      <c r="B11" s="13"/>
      <c r="C11" s="6"/>
      <c r="G11">
        <v>10</v>
      </c>
      <c r="H11" t="s">
        <v>161</v>
      </c>
      <c r="I11" t="s">
        <v>162</v>
      </c>
      <c r="M11">
        <v>10</v>
      </c>
      <c r="Q11">
        <v>10</v>
      </c>
      <c r="V11">
        <v>9</v>
      </c>
    </row>
    <row r="12" spans="1:24" x14ac:dyDescent="0.25">
      <c r="A12">
        <v>5</v>
      </c>
      <c r="B12" s="13" t="s">
        <v>31</v>
      </c>
      <c r="C12" s="6"/>
      <c r="G12">
        <v>11</v>
      </c>
      <c r="H12" t="s">
        <v>163</v>
      </c>
      <c r="I12" t="s">
        <v>164</v>
      </c>
      <c r="M12">
        <v>11</v>
      </c>
      <c r="Q12">
        <v>11</v>
      </c>
      <c r="V12">
        <v>10</v>
      </c>
    </row>
    <row r="13" spans="1:24" x14ac:dyDescent="0.25">
      <c r="A13">
        <v>4</v>
      </c>
      <c r="B13" s="13"/>
      <c r="C13" s="6"/>
      <c r="G13">
        <v>12</v>
      </c>
      <c r="H13" t="s">
        <v>165</v>
      </c>
      <c r="I13" t="s">
        <v>166</v>
      </c>
      <c r="M13">
        <v>12</v>
      </c>
      <c r="Q13">
        <v>12</v>
      </c>
      <c r="V13">
        <v>11</v>
      </c>
    </row>
    <row r="14" spans="1:24" x14ac:dyDescent="0.25">
      <c r="A14">
        <v>3</v>
      </c>
      <c r="B14" s="13"/>
      <c r="C14" s="6"/>
      <c r="G14">
        <v>13</v>
      </c>
      <c r="H14" t="s">
        <v>140</v>
      </c>
      <c r="I14" t="s">
        <v>167</v>
      </c>
      <c r="M14">
        <v>13</v>
      </c>
      <c r="Q14">
        <v>13</v>
      </c>
      <c r="V14">
        <v>12</v>
      </c>
    </row>
    <row r="15" spans="1:24" x14ac:dyDescent="0.25">
      <c r="A15">
        <v>2</v>
      </c>
      <c r="B15" s="13"/>
      <c r="C15" s="6"/>
      <c r="G15">
        <v>14</v>
      </c>
      <c r="H15" t="s">
        <v>168</v>
      </c>
      <c r="I15" t="s">
        <v>169</v>
      </c>
      <c r="M15">
        <v>14</v>
      </c>
      <c r="Q15">
        <v>14</v>
      </c>
      <c r="V15">
        <v>13</v>
      </c>
    </row>
    <row r="16" spans="1:24" x14ac:dyDescent="0.25">
      <c r="A16">
        <v>1</v>
      </c>
      <c r="B16" s="13"/>
      <c r="C16" s="6"/>
      <c r="G16">
        <v>15</v>
      </c>
      <c r="H16" t="s">
        <v>142</v>
      </c>
      <c r="I16" t="s">
        <v>170</v>
      </c>
      <c r="M16">
        <v>15</v>
      </c>
      <c r="Q16">
        <v>15</v>
      </c>
      <c r="V16">
        <v>14</v>
      </c>
    </row>
    <row r="17" spans="1:22" x14ac:dyDescent="0.25">
      <c r="A17">
        <v>0</v>
      </c>
      <c r="B17" s="13"/>
      <c r="C17" s="6"/>
      <c r="V17">
        <v>15</v>
      </c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9" sqref="B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98</v>
      </c>
      <c r="E3" t="s">
        <v>99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100</v>
      </c>
      <c r="E6" t="s">
        <v>99</v>
      </c>
      <c r="F6" t="s">
        <v>101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102</v>
      </c>
      <c r="E8" t="s">
        <v>103</v>
      </c>
      <c r="F8" t="s">
        <v>105</v>
      </c>
    </row>
    <row r="9" spans="1:6" x14ac:dyDescent="0.25">
      <c r="A9">
        <v>7</v>
      </c>
      <c r="B9" t="s">
        <v>71</v>
      </c>
      <c r="D9" t="s">
        <v>104</v>
      </c>
      <c r="E9" t="s">
        <v>106</v>
      </c>
      <c r="F9" t="s">
        <v>107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M42"/>
  <sheetViews>
    <sheetView workbookViewId="0">
      <selection activeCell="A12" sqref="A12"/>
    </sheetView>
  </sheetViews>
  <sheetFormatPr defaultRowHeight="16.5" x14ac:dyDescent="0.25"/>
  <cols>
    <col min="1" max="1" width="6.42578125" style="3" bestFit="1" customWidth="1"/>
    <col min="2" max="2" width="16.42578125" bestFit="1" customWidth="1"/>
    <col min="3" max="3" width="5.42578125" bestFit="1" customWidth="1"/>
    <col min="4" max="4" width="5" bestFit="1" customWidth="1"/>
    <col min="5" max="5" width="5.42578125" bestFit="1" customWidth="1"/>
    <col min="6" max="6" width="6" bestFit="1" customWidth="1"/>
    <col min="7" max="7" width="6.7109375" bestFit="1" customWidth="1"/>
    <col min="13" max="13" width="2.140625" bestFit="1" customWidth="1"/>
  </cols>
  <sheetData>
    <row r="1" spans="1:13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  <c r="M1" t="s">
        <v>2</v>
      </c>
    </row>
    <row r="2" spans="1:13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  <c r="M2" s="10" t="s">
        <v>19</v>
      </c>
    </row>
    <row r="3" spans="1:13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  <c r="M3" s="10" t="s">
        <v>45</v>
      </c>
    </row>
    <row r="4" spans="1:13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  <c r="M4" s="10" t="s">
        <v>3</v>
      </c>
    </row>
    <row r="5" spans="1:13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  <c r="M5" s="10" t="s">
        <v>58</v>
      </c>
    </row>
    <row r="6" spans="1:13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  <c r="M6" s="10" t="s">
        <v>59</v>
      </c>
    </row>
    <row r="7" spans="1:13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  <c r="M7" s="10" t="s">
        <v>60</v>
      </c>
    </row>
    <row r="8" spans="1:13" x14ac:dyDescent="0.25">
      <c r="A8" s="3" t="s">
        <v>141</v>
      </c>
      <c r="B8" t="s">
        <v>149</v>
      </c>
      <c r="C8" t="s">
        <v>24</v>
      </c>
      <c r="D8" t="s">
        <v>25</v>
      </c>
      <c r="E8" t="s">
        <v>24</v>
      </c>
      <c r="F8" t="s">
        <v>24</v>
      </c>
      <c r="G8" t="s">
        <v>24</v>
      </c>
      <c r="M8" s="10" t="s">
        <v>132</v>
      </c>
    </row>
    <row r="9" spans="1:13" x14ac:dyDescent="0.25">
      <c r="A9" s="3" t="s">
        <v>5</v>
      </c>
      <c r="B9" t="s">
        <v>13</v>
      </c>
      <c r="C9" t="s">
        <v>25</v>
      </c>
      <c r="D9" t="s">
        <v>25</v>
      </c>
      <c r="E9" t="s">
        <v>24</v>
      </c>
      <c r="F9" t="s">
        <v>24</v>
      </c>
      <c r="G9" t="s">
        <v>24</v>
      </c>
      <c r="M9" s="10" t="s">
        <v>133</v>
      </c>
    </row>
    <row r="10" spans="1:13" x14ac:dyDescent="0.25">
      <c r="A10" s="11" t="s">
        <v>19</v>
      </c>
      <c r="B10" t="s">
        <v>20</v>
      </c>
      <c r="C10" t="s">
        <v>24</v>
      </c>
      <c r="D10" t="s">
        <v>25</v>
      </c>
      <c r="E10" t="s">
        <v>24</v>
      </c>
      <c r="F10" t="s">
        <v>24</v>
      </c>
      <c r="G10" t="s">
        <v>24</v>
      </c>
      <c r="M10" s="10" t="s">
        <v>134</v>
      </c>
    </row>
    <row r="11" spans="1:13" x14ac:dyDescent="0.25">
      <c r="A11" s="11" t="s">
        <v>21</v>
      </c>
      <c r="B11" t="s">
        <v>22</v>
      </c>
      <c r="C11" t="s">
        <v>25</v>
      </c>
      <c r="D11" t="s">
        <v>25</v>
      </c>
      <c r="E11" t="s">
        <v>24</v>
      </c>
      <c r="F11" t="s">
        <v>24</v>
      </c>
      <c r="G11" t="s">
        <v>24</v>
      </c>
      <c r="M11" s="10" t="s">
        <v>135</v>
      </c>
    </row>
    <row r="12" spans="1:13" ht="15" x14ac:dyDescent="0.25">
      <c r="A12" s="12" t="s">
        <v>159</v>
      </c>
      <c r="B12" t="s">
        <v>160</v>
      </c>
      <c r="C12" t="s">
        <v>25</v>
      </c>
      <c r="D12" t="s">
        <v>25</v>
      </c>
      <c r="E12" t="s">
        <v>24</v>
      </c>
      <c r="F12" t="s">
        <v>24</v>
      </c>
      <c r="G12" t="s">
        <v>24</v>
      </c>
      <c r="M12" s="10" t="s">
        <v>136</v>
      </c>
    </row>
    <row r="13" spans="1:13" ht="15" x14ac:dyDescent="0.25">
      <c r="A13" s="12" t="s">
        <v>161</v>
      </c>
      <c r="B13" t="s">
        <v>162</v>
      </c>
      <c r="C13" t="s">
        <v>25</v>
      </c>
      <c r="D13" t="s">
        <v>25</v>
      </c>
      <c r="E13" t="s">
        <v>24</v>
      </c>
      <c r="F13" t="s">
        <v>24</v>
      </c>
      <c r="G13" t="s">
        <v>24</v>
      </c>
      <c r="M13" s="10" t="s">
        <v>137</v>
      </c>
    </row>
    <row r="14" spans="1:13" ht="15" x14ac:dyDescent="0.25">
      <c r="A14" s="12" t="s">
        <v>163</v>
      </c>
      <c r="B14" t="s">
        <v>164</v>
      </c>
      <c r="C14" t="s">
        <v>25</v>
      </c>
      <c r="D14" t="s">
        <v>25</v>
      </c>
      <c r="E14" t="s">
        <v>24</v>
      </c>
      <c r="F14" t="s">
        <v>24</v>
      </c>
      <c r="G14" t="s">
        <v>24</v>
      </c>
      <c r="M14" s="10" t="s">
        <v>24</v>
      </c>
    </row>
    <row r="15" spans="1:13" ht="15" x14ac:dyDescent="0.25">
      <c r="A15" s="12" t="s">
        <v>165</v>
      </c>
      <c r="B15" t="s">
        <v>166</v>
      </c>
      <c r="C15" t="s">
        <v>25</v>
      </c>
      <c r="D15" t="s">
        <v>25</v>
      </c>
      <c r="E15" t="s">
        <v>24</v>
      </c>
      <c r="F15" t="s">
        <v>24</v>
      </c>
      <c r="G15" t="s">
        <v>24</v>
      </c>
      <c r="M15" s="10" t="s">
        <v>138</v>
      </c>
    </row>
    <row r="16" spans="1:13" ht="15" x14ac:dyDescent="0.25">
      <c r="A16" s="12" t="s">
        <v>140</v>
      </c>
      <c r="B16" t="s">
        <v>167</v>
      </c>
      <c r="C16" t="s">
        <v>24</v>
      </c>
      <c r="D16" t="s">
        <v>25</v>
      </c>
      <c r="E16" t="s">
        <v>24</v>
      </c>
      <c r="F16" t="s">
        <v>24</v>
      </c>
      <c r="G16" t="s">
        <v>24</v>
      </c>
      <c r="M16" s="10" t="s">
        <v>4</v>
      </c>
    </row>
    <row r="17" spans="1:13" ht="15" x14ac:dyDescent="0.25">
      <c r="A17" s="12" t="s">
        <v>168</v>
      </c>
      <c r="B17" t="s">
        <v>169</v>
      </c>
      <c r="C17" t="s">
        <v>24</v>
      </c>
      <c r="D17" t="s">
        <v>25</v>
      </c>
      <c r="E17" t="s">
        <v>24</v>
      </c>
      <c r="F17" t="s">
        <v>24</v>
      </c>
      <c r="G17" t="s">
        <v>24</v>
      </c>
      <c r="M17" t="s">
        <v>139</v>
      </c>
    </row>
    <row r="18" spans="1:13" ht="15" x14ac:dyDescent="0.25">
      <c r="A18" s="12" t="s">
        <v>142</v>
      </c>
      <c r="B18" t="s">
        <v>170</v>
      </c>
      <c r="C18" t="s">
        <v>25</v>
      </c>
      <c r="D18" t="s">
        <v>25</v>
      </c>
      <c r="E18" t="s">
        <v>24</v>
      </c>
      <c r="F18" t="s">
        <v>24</v>
      </c>
      <c r="G18" t="s">
        <v>24</v>
      </c>
      <c r="M18" t="s">
        <v>140</v>
      </c>
    </row>
    <row r="19" spans="1:13" x14ac:dyDescent="0.25">
      <c r="M19" s="10" t="s">
        <v>5</v>
      </c>
    </row>
    <row r="20" spans="1:13" x14ac:dyDescent="0.25">
      <c r="A20" s="3" t="s">
        <v>58</v>
      </c>
      <c r="B20" t="s">
        <v>90</v>
      </c>
      <c r="C20" t="s">
        <v>24</v>
      </c>
      <c r="D20" t="s">
        <v>24</v>
      </c>
      <c r="E20" t="s">
        <v>25</v>
      </c>
      <c r="F20" t="s">
        <v>25</v>
      </c>
      <c r="G20" t="s">
        <v>25</v>
      </c>
      <c r="M20" t="s">
        <v>142</v>
      </c>
    </row>
    <row r="21" spans="1:13" x14ac:dyDescent="0.25">
      <c r="A21" s="3" t="s">
        <v>59</v>
      </c>
      <c r="B21" t="s">
        <v>91</v>
      </c>
      <c r="C21" t="s">
        <v>24</v>
      </c>
      <c r="D21" t="s">
        <v>24</v>
      </c>
      <c r="E21" t="s">
        <v>25</v>
      </c>
      <c r="F21" t="s">
        <v>25</v>
      </c>
      <c r="G21" t="s">
        <v>25</v>
      </c>
      <c r="M21" s="10" t="s">
        <v>21</v>
      </c>
    </row>
    <row r="22" spans="1:13" x14ac:dyDescent="0.25">
      <c r="A22" s="3" t="s">
        <v>60</v>
      </c>
      <c r="B22" t="s">
        <v>92</v>
      </c>
      <c r="C22" t="s">
        <v>24</v>
      </c>
      <c r="D22" t="s">
        <v>24</v>
      </c>
      <c r="E22" t="s">
        <v>25</v>
      </c>
      <c r="F22" t="s">
        <v>25</v>
      </c>
      <c r="G22" t="s">
        <v>25</v>
      </c>
      <c r="M22" s="10" t="s">
        <v>1</v>
      </c>
    </row>
    <row r="23" spans="1:13" x14ac:dyDescent="0.25">
      <c r="A23" s="3" t="s">
        <v>45</v>
      </c>
      <c r="B23" t="s">
        <v>61</v>
      </c>
      <c r="C23" t="s">
        <v>24</v>
      </c>
      <c r="D23" t="s">
        <v>24</v>
      </c>
      <c r="E23" t="s">
        <v>25</v>
      </c>
      <c r="F23" t="s">
        <v>25</v>
      </c>
      <c r="G23" t="s">
        <v>25</v>
      </c>
      <c r="M23" s="10" t="s">
        <v>0</v>
      </c>
    </row>
    <row r="24" spans="1:13" x14ac:dyDescent="0.25">
      <c r="M24" t="s">
        <v>25</v>
      </c>
    </row>
    <row r="25" spans="1:13" x14ac:dyDescent="0.25">
      <c r="A25" s="3" t="s">
        <v>132</v>
      </c>
      <c r="B25" t="s">
        <v>144</v>
      </c>
      <c r="C25" t="s">
        <v>24</v>
      </c>
      <c r="D25" t="s">
        <v>24</v>
      </c>
      <c r="E25" t="s">
        <v>25</v>
      </c>
      <c r="F25" t="s">
        <v>25</v>
      </c>
      <c r="G25" t="s">
        <v>24</v>
      </c>
      <c r="M25" t="s">
        <v>143</v>
      </c>
    </row>
    <row r="26" spans="1:13" x14ac:dyDescent="0.25">
      <c r="A26" s="3" t="s">
        <v>133</v>
      </c>
      <c r="B26" t="s">
        <v>145</v>
      </c>
      <c r="C26" t="s">
        <v>24</v>
      </c>
      <c r="D26" t="s">
        <v>24</v>
      </c>
      <c r="E26" t="s">
        <v>25</v>
      </c>
      <c r="F26" t="s">
        <v>25</v>
      </c>
      <c r="G26" t="s">
        <v>24</v>
      </c>
      <c r="M26" s="10">
        <v>0</v>
      </c>
    </row>
    <row r="27" spans="1:13" x14ac:dyDescent="0.25">
      <c r="A27" s="3" t="s">
        <v>134</v>
      </c>
      <c r="B27" t="s">
        <v>146</v>
      </c>
      <c r="C27" t="s">
        <v>24</v>
      </c>
      <c r="D27" t="s">
        <v>24</v>
      </c>
      <c r="E27" t="s">
        <v>25</v>
      </c>
      <c r="F27" t="s">
        <v>25</v>
      </c>
      <c r="G27" t="s">
        <v>24</v>
      </c>
      <c r="M27" s="10">
        <v>1</v>
      </c>
    </row>
    <row r="28" spans="1:13" x14ac:dyDescent="0.25">
      <c r="A28" s="3" t="s">
        <v>135</v>
      </c>
      <c r="B28" t="s">
        <v>148</v>
      </c>
      <c r="C28" t="s">
        <v>24</v>
      </c>
      <c r="D28" t="s">
        <v>24</v>
      </c>
      <c r="E28" t="s">
        <v>25</v>
      </c>
      <c r="F28" t="s">
        <v>25</v>
      </c>
      <c r="G28" t="s">
        <v>24</v>
      </c>
      <c r="M28" s="10">
        <v>2</v>
      </c>
    </row>
    <row r="29" spans="1:13" x14ac:dyDescent="0.25">
      <c r="A29" s="3" t="s">
        <v>136</v>
      </c>
      <c r="B29" t="s">
        <v>147</v>
      </c>
      <c r="C29" t="s">
        <v>24</v>
      </c>
      <c r="D29" t="s">
        <v>24</v>
      </c>
      <c r="E29" t="s">
        <v>25</v>
      </c>
      <c r="F29" t="s">
        <v>25</v>
      </c>
      <c r="G29" t="s">
        <v>24</v>
      </c>
      <c r="M29" s="10">
        <v>3</v>
      </c>
    </row>
    <row r="30" spans="1:13" x14ac:dyDescent="0.25">
      <c r="A30" s="3" t="s">
        <v>137</v>
      </c>
      <c r="B30" t="s">
        <v>147</v>
      </c>
      <c r="C30" t="s">
        <v>24</v>
      </c>
      <c r="D30" t="s">
        <v>24</v>
      </c>
      <c r="E30" t="s">
        <v>25</v>
      </c>
      <c r="F30" t="s">
        <v>25</v>
      </c>
      <c r="G30" t="s">
        <v>24</v>
      </c>
      <c r="M30" s="10">
        <v>4</v>
      </c>
    </row>
    <row r="31" spans="1:13" x14ac:dyDescent="0.25">
      <c r="A31" s="3" t="s">
        <v>24</v>
      </c>
      <c r="B31" t="s">
        <v>147</v>
      </c>
      <c r="C31" t="s">
        <v>24</v>
      </c>
      <c r="D31" t="s">
        <v>24</v>
      </c>
      <c r="E31" t="s">
        <v>25</v>
      </c>
      <c r="F31" t="s">
        <v>25</v>
      </c>
      <c r="G31" t="s">
        <v>24</v>
      </c>
      <c r="M31" s="10">
        <v>5</v>
      </c>
    </row>
    <row r="32" spans="1:13" x14ac:dyDescent="0.25">
      <c r="A32" s="3" t="s">
        <v>138</v>
      </c>
      <c r="B32" t="s">
        <v>147</v>
      </c>
      <c r="C32" t="s">
        <v>24</v>
      </c>
      <c r="D32" t="s">
        <v>24</v>
      </c>
      <c r="E32" t="s">
        <v>25</v>
      </c>
      <c r="F32" t="s">
        <v>25</v>
      </c>
      <c r="G32" t="s">
        <v>24</v>
      </c>
      <c r="M32" s="10">
        <v>6</v>
      </c>
    </row>
    <row r="33" spans="1:13" x14ac:dyDescent="0.25">
      <c r="M33" s="10">
        <v>7</v>
      </c>
    </row>
    <row r="34" spans="1:13" ht="15" x14ac:dyDescent="0.25">
      <c r="A34" s="14">
        <v>1</v>
      </c>
      <c r="B34" t="s">
        <v>173</v>
      </c>
      <c r="C34" t="s">
        <v>24</v>
      </c>
      <c r="D34" t="s">
        <v>24</v>
      </c>
      <c r="E34" t="s">
        <v>24</v>
      </c>
      <c r="F34" t="s">
        <v>25</v>
      </c>
      <c r="G34" t="s">
        <v>24</v>
      </c>
      <c r="M34" s="10">
        <v>8</v>
      </c>
    </row>
    <row r="35" spans="1:13" ht="15" x14ac:dyDescent="0.25">
      <c r="A35" s="14">
        <v>2</v>
      </c>
      <c r="B35" t="s">
        <v>174</v>
      </c>
      <c r="C35" t="s">
        <v>24</v>
      </c>
      <c r="D35" t="s">
        <v>24</v>
      </c>
      <c r="E35" t="s">
        <v>24</v>
      </c>
      <c r="F35" t="s">
        <v>25</v>
      </c>
      <c r="G35" t="s">
        <v>24</v>
      </c>
      <c r="M35">
        <v>9</v>
      </c>
    </row>
    <row r="36" spans="1:13" ht="15" x14ac:dyDescent="0.25">
      <c r="A36" s="14">
        <v>3</v>
      </c>
      <c r="B36" t="s">
        <v>182</v>
      </c>
      <c r="C36" t="s">
        <v>24</v>
      </c>
      <c r="D36" t="s">
        <v>24</v>
      </c>
      <c r="E36" t="s">
        <v>24</v>
      </c>
      <c r="F36" t="s">
        <v>25</v>
      </c>
      <c r="G36" t="s">
        <v>24</v>
      </c>
    </row>
    <row r="37" spans="1:13" ht="15" x14ac:dyDescent="0.25">
      <c r="A37" s="14">
        <v>4</v>
      </c>
      <c r="B37" t="s">
        <v>182</v>
      </c>
      <c r="C37" t="s">
        <v>24</v>
      </c>
      <c r="D37" t="s">
        <v>24</v>
      </c>
      <c r="E37" t="s">
        <v>24</v>
      </c>
      <c r="F37" t="s">
        <v>25</v>
      </c>
      <c r="G37" t="s">
        <v>24</v>
      </c>
    </row>
    <row r="38" spans="1:13" ht="15" x14ac:dyDescent="0.25">
      <c r="A38" s="14">
        <v>5</v>
      </c>
      <c r="B38" t="s">
        <v>182</v>
      </c>
      <c r="C38" t="s">
        <v>24</v>
      </c>
      <c r="D38" t="s">
        <v>24</v>
      </c>
      <c r="E38" t="s">
        <v>24</v>
      </c>
      <c r="F38" t="s">
        <v>25</v>
      </c>
      <c r="G38" t="s">
        <v>24</v>
      </c>
    </row>
    <row r="39" spans="1:13" ht="15" x14ac:dyDescent="0.25">
      <c r="A39" s="14">
        <v>6</v>
      </c>
      <c r="B39" t="s">
        <v>182</v>
      </c>
      <c r="C39" t="s">
        <v>24</v>
      </c>
      <c r="D39" t="s">
        <v>24</v>
      </c>
      <c r="E39" t="s">
        <v>24</v>
      </c>
      <c r="F39" t="s">
        <v>25</v>
      </c>
      <c r="G39" t="s">
        <v>24</v>
      </c>
    </row>
    <row r="40" spans="1:13" ht="15" x14ac:dyDescent="0.25">
      <c r="A40" s="14">
        <v>7</v>
      </c>
      <c r="B40" t="s">
        <v>182</v>
      </c>
      <c r="C40" t="s">
        <v>24</v>
      </c>
      <c r="D40" t="s">
        <v>24</v>
      </c>
      <c r="E40" t="s">
        <v>24</v>
      </c>
      <c r="F40" t="s">
        <v>25</v>
      </c>
      <c r="G40" t="s">
        <v>24</v>
      </c>
    </row>
    <row r="41" spans="1:13" ht="15" x14ac:dyDescent="0.25">
      <c r="A41" s="14">
        <v>8</v>
      </c>
      <c r="B41" t="s">
        <v>182</v>
      </c>
      <c r="C41" t="s">
        <v>24</v>
      </c>
      <c r="D41" t="s">
        <v>24</v>
      </c>
      <c r="E41" t="s">
        <v>24</v>
      </c>
      <c r="F41" t="s">
        <v>25</v>
      </c>
      <c r="G41" t="s">
        <v>24</v>
      </c>
    </row>
    <row r="42" spans="1:13" ht="15" x14ac:dyDescent="0.25">
      <c r="A4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108</v>
      </c>
      <c r="B1" t="s">
        <v>113</v>
      </c>
    </row>
    <row r="2" spans="1:2" x14ac:dyDescent="0.25">
      <c r="A2" t="s">
        <v>109</v>
      </c>
      <c r="B2" t="s">
        <v>79</v>
      </c>
    </row>
    <row r="3" spans="1:2" x14ac:dyDescent="0.25">
      <c r="A3" t="s">
        <v>110</v>
      </c>
      <c r="B3" t="s">
        <v>112</v>
      </c>
    </row>
    <row r="4" spans="1:2" x14ac:dyDescent="0.25">
      <c r="A4" t="s">
        <v>111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tabSelected="1" topLeftCell="A13" zoomScaleNormal="100" workbookViewId="0">
      <selection activeCell="M36" sqref="M36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 t="s">
        <v>21</v>
      </c>
      <c r="AC2" s="2" t="s">
        <v>0</v>
      </c>
      <c r="AD2" s="2" t="s">
        <v>0</v>
      </c>
      <c r="AE2" s="2" t="s">
        <v>0</v>
      </c>
      <c r="AF2" s="2" t="s">
        <v>0</v>
      </c>
      <c r="AG2" s="2" t="s">
        <v>0</v>
      </c>
      <c r="AH2" s="2" t="s">
        <v>0</v>
      </c>
      <c r="AI2" s="2" t="s">
        <v>0</v>
      </c>
      <c r="AJ2" s="2" t="s">
        <v>0</v>
      </c>
      <c r="AK2" s="2" t="s">
        <v>0</v>
      </c>
      <c r="AL2" s="2" t="s">
        <v>0</v>
      </c>
      <c r="AM2" s="2" t="s">
        <v>0</v>
      </c>
      <c r="AN2" s="2" t="s">
        <v>0</v>
      </c>
      <c r="AO2" s="2" t="s">
        <v>0</v>
      </c>
      <c r="AP2" s="2" t="s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>_xlfn.TEXTJOIN("",TRUE,A2:BL2)</f>
        <v>XXXXXXXXXXXXXXXXXXXXXXXXXXXVXXXXXXXXXXXXXXXXXXXXXXXXXXXXXXXXXXXX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141</v>
      </c>
      <c r="AC3" s="2" t="s">
        <v>0</v>
      </c>
      <c r="AD3" s="2" t="s">
        <v>0</v>
      </c>
      <c r="AE3" s="2" t="s">
        <v>0</v>
      </c>
      <c r="AF3" s="2" t="s">
        <v>0</v>
      </c>
      <c r="AG3" s="2" t="s">
        <v>0</v>
      </c>
      <c r="AH3" s="2" t="s">
        <v>0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ref="BM3:BM64" si="0">_xlfn.TEXTJOIN("",TRUE,A3:BL3)</f>
        <v>XXXXXXXXXXXXXXXXXXXXXXXXXXXTXXXXXXXXXXXXXXXXXXXXXXXXXXXXXXXXXXXX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 t="s">
        <v>0</v>
      </c>
      <c r="AA4" s="2">
        <v>0</v>
      </c>
      <c r="AB4" s="2">
        <v>0</v>
      </c>
      <c r="AC4" s="2">
        <v>0</v>
      </c>
      <c r="AD4" s="2" t="s">
        <v>0</v>
      </c>
      <c r="AE4" s="2" t="s">
        <v>0</v>
      </c>
      <c r="AF4" s="2" t="s">
        <v>0</v>
      </c>
      <c r="AG4" s="2" t="s">
        <v>0</v>
      </c>
      <c r="AH4" s="2" t="s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XXXXXXXXXXXXXXXXXXXXXXXXXX000XXXXXXXXXXXXXXXXXXXXXXXXXXXXXXXXXXX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 t="s">
        <v>0</v>
      </c>
      <c r="AA5" s="2">
        <v>0</v>
      </c>
      <c r="AB5" s="2">
        <v>0</v>
      </c>
      <c r="AC5" s="2">
        <v>0</v>
      </c>
      <c r="AD5" s="2" t="s">
        <v>159</v>
      </c>
      <c r="AE5" s="2" t="s">
        <v>0</v>
      </c>
      <c r="AF5" s="2" t="s">
        <v>0</v>
      </c>
      <c r="AG5" s="2" t="s">
        <v>0</v>
      </c>
      <c r="AH5" s="2" t="s">
        <v>0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XXXXXXXXXXXXXXXXXXXXXXXXXX000!XXXXXXXXXXXXXXXXXXXXXXXXXXXXXXXXXX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 t="s">
        <v>0</v>
      </c>
      <c r="U6" s="2" t="s">
        <v>0</v>
      </c>
      <c r="V6" s="2" t="s">
        <v>0</v>
      </c>
      <c r="W6" s="2" t="s">
        <v>0</v>
      </c>
      <c r="X6" s="2" t="s">
        <v>0</v>
      </c>
      <c r="Y6" s="2" t="s">
        <v>0</v>
      </c>
      <c r="Z6" s="2" t="s">
        <v>0</v>
      </c>
      <c r="AA6" s="2" t="s">
        <v>0</v>
      </c>
      <c r="AB6" s="2" t="s">
        <v>3</v>
      </c>
      <c r="AC6" s="2" t="s">
        <v>0</v>
      </c>
      <c r="AD6" s="2" t="s">
        <v>0</v>
      </c>
      <c r="AE6" s="2" t="s">
        <v>0</v>
      </c>
      <c r="AF6" s="2" t="s">
        <v>0</v>
      </c>
      <c r="AG6" s="2" t="s">
        <v>0</v>
      </c>
      <c r="AH6" s="2" t="s">
        <v>0</v>
      </c>
      <c r="AI6" s="2" t="s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XXXXXXXXXXXXXXXXXXXXXXXXXXXDXXXXXXXXXXXXXXXXXXXXXXXXXXXXXXXXXXXX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 t="s">
        <v>0</v>
      </c>
      <c r="X7" s="2" t="s">
        <v>0</v>
      </c>
      <c r="Y7" s="2" t="s">
        <v>0</v>
      </c>
      <c r="Z7" s="2" t="s">
        <v>0</v>
      </c>
      <c r="AA7" s="2">
        <v>0</v>
      </c>
      <c r="AB7" s="2">
        <v>0</v>
      </c>
      <c r="AC7" s="2">
        <v>0</v>
      </c>
      <c r="AD7" s="2" t="s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 t="s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XXXXXXXXXXXXXXXXXXXXXXXXXX000XXXXXXXXXXXXXXXXXXXXXXXXXXXXXXXXXXX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 t="s">
        <v>0</v>
      </c>
      <c r="X8" s="2" t="s">
        <v>0</v>
      </c>
      <c r="Y8" s="2" t="s">
        <v>0</v>
      </c>
      <c r="Z8" s="2" t="s">
        <v>0</v>
      </c>
      <c r="AA8" s="2">
        <v>2</v>
      </c>
      <c r="AB8" s="2">
        <v>0</v>
      </c>
      <c r="AC8" s="2">
        <v>1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0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XXXXXXXXXXXXXXXXXXXXXXXXXX201XXXXXXXXXXXXXXXXXXXXXXXXXXXXXXXXXXX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 t="s">
        <v>159</v>
      </c>
      <c r="X9" s="2" t="s">
        <v>0</v>
      </c>
      <c r="Y9" s="2" t="s">
        <v>0</v>
      </c>
      <c r="Z9" s="2" t="s">
        <v>159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 t="s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XXXXXXXXXXXXXXXXXXXXXX!XX!XDXXXXXXXXXXXXXXXXXXXXXXXXXXXXXXXXXXXX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>
        <v>2</v>
      </c>
      <c r="W10" s="2">
        <v>0</v>
      </c>
      <c r="X10" s="2" t="s">
        <v>1</v>
      </c>
      <c r="Y10" s="2">
        <v>0</v>
      </c>
      <c r="Z10" s="2">
        <v>0</v>
      </c>
      <c r="AA10" s="2" t="s">
        <v>0</v>
      </c>
      <c r="AB10" s="2">
        <v>0</v>
      </c>
      <c r="AC10" s="2" t="s">
        <v>0</v>
      </c>
      <c r="AD10" s="2">
        <v>0</v>
      </c>
      <c r="AE10" s="2">
        <v>0</v>
      </c>
      <c r="AF10" s="2" t="s">
        <v>1</v>
      </c>
      <c r="AG10" s="2">
        <v>0</v>
      </c>
      <c r="AH10" s="2">
        <v>2</v>
      </c>
      <c r="AI10" s="2" t="s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XXXXXXXXXXXXXXXXXXXXX20W00X0X00W02XXXXXXXXXXXXXXXXXXXXXXXXXXXXXX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159</v>
      </c>
      <c r="V11" s="2">
        <v>0</v>
      </c>
      <c r="W11" s="2">
        <v>0</v>
      </c>
      <c r="X11" s="2" t="s">
        <v>0</v>
      </c>
      <c r="Y11" s="2">
        <v>2</v>
      </c>
      <c r="Z11" s="2">
        <v>0</v>
      </c>
      <c r="AA11" s="2" t="s">
        <v>3</v>
      </c>
      <c r="AB11" s="2">
        <v>0</v>
      </c>
      <c r="AC11" s="2" t="s">
        <v>3</v>
      </c>
      <c r="AD11" s="2">
        <v>0</v>
      </c>
      <c r="AE11" s="2">
        <v>2</v>
      </c>
      <c r="AF11" s="2" t="s">
        <v>0</v>
      </c>
      <c r="AG11" s="2">
        <v>0</v>
      </c>
      <c r="AH11" s="2">
        <v>0</v>
      </c>
      <c r="AI11" s="2" t="s">
        <v>0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XXXXXXXXXXXXXXXXXXXX!00X20D0D02X00XXXXXXXXXXXXXXXXXXXXXXXXXXXXXX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>
        <v>2</v>
      </c>
      <c r="W12" s="2" t="s">
        <v>45</v>
      </c>
      <c r="X12" s="2" t="s">
        <v>3</v>
      </c>
      <c r="Y12" s="2">
        <v>0</v>
      </c>
      <c r="Z12" s="2" t="s">
        <v>45</v>
      </c>
      <c r="AA12" s="2" t="s">
        <v>0</v>
      </c>
      <c r="AB12" s="2" t="s">
        <v>2</v>
      </c>
      <c r="AC12" s="2" t="s">
        <v>0</v>
      </c>
      <c r="AD12" s="2" t="s">
        <v>45</v>
      </c>
      <c r="AE12" s="2">
        <v>0</v>
      </c>
      <c r="AF12" s="2" t="s">
        <v>3</v>
      </c>
      <c r="AG12" s="2" t="s">
        <v>45</v>
      </c>
      <c r="AH12" s="2">
        <v>2</v>
      </c>
      <c r="AI12" s="2" t="s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XXXXXXXXXXXXXXXXXXXXX2CD0CXAXC0DC2XXXXXXXXXXXXXXXXXXXXXXXXXXXXXX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159</v>
      </c>
      <c r="V13" s="2">
        <v>0</v>
      </c>
      <c r="W13" s="2">
        <v>0</v>
      </c>
      <c r="X13" s="2" t="s">
        <v>0</v>
      </c>
      <c r="Y13" s="2">
        <v>2</v>
      </c>
      <c r="Z13" s="2">
        <v>0</v>
      </c>
      <c r="AA13" s="2" t="s">
        <v>1</v>
      </c>
      <c r="AB13" s="2">
        <v>0</v>
      </c>
      <c r="AC13" s="2" t="s">
        <v>1</v>
      </c>
      <c r="AD13" s="2">
        <v>0</v>
      </c>
      <c r="AE13" s="2">
        <v>2</v>
      </c>
      <c r="AF13" s="2" t="s">
        <v>0</v>
      </c>
      <c r="AG13" s="2">
        <v>0</v>
      </c>
      <c r="AH13" s="2">
        <v>0</v>
      </c>
      <c r="AI13" s="2" t="s">
        <v>159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XXXXXXXXXXXXXXXXXXXX!00X20W0W02X00!XXXXXXXXXXXXXXXXXXXXXXXXXXXXX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>
        <v>2</v>
      </c>
      <c r="W14" s="2">
        <v>0</v>
      </c>
      <c r="X14" s="2" t="s">
        <v>1</v>
      </c>
      <c r="Y14" s="2">
        <v>0</v>
      </c>
      <c r="Z14" s="2">
        <v>0</v>
      </c>
      <c r="AA14" s="2" t="s">
        <v>0</v>
      </c>
      <c r="AB14" s="2">
        <v>0</v>
      </c>
      <c r="AC14" s="2" t="s">
        <v>0</v>
      </c>
      <c r="AD14" s="2">
        <v>0</v>
      </c>
      <c r="AE14" s="2">
        <v>0</v>
      </c>
      <c r="AF14" s="2" t="s">
        <v>1</v>
      </c>
      <c r="AG14" s="2">
        <v>0</v>
      </c>
      <c r="AH14" s="2">
        <v>2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XXXXXXXXXXXXXXXXXXXXX20W00X0X00W02XXXXXXXXXXXXXXXXXXXXXXXXXXXXXX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3</v>
      </c>
      <c r="AC15" s="2" t="s">
        <v>0</v>
      </c>
      <c r="AD15" s="2" t="s">
        <v>159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XXXXXXXXXXXXXXXXXXXXXXXXXXXDX!XXXXXXXXXXXXXXXXXXXXXXXXXXXXXXXXXX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159</v>
      </c>
      <c r="V16" s="2">
        <v>2</v>
      </c>
      <c r="W16" s="2">
        <v>0</v>
      </c>
      <c r="X16" s="2" t="s">
        <v>1</v>
      </c>
      <c r="Y16" s="2">
        <v>0</v>
      </c>
      <c r="Z16" s="2">
        <v>0</v>
      </c>
      <c r="AA16" s="2" t="s">
        <v>0</v>
      </c>
      <c r="AB16" s="2">
        <v>0</v>
      </c>
      <c r="AC16" s="2" t="s">
        <v>0</v>
      </c>
      <c r="AD16" s="2">
        <v>0</v>
      </c>
      <c r="AE16" s="2">
        <v>0</v>
      </c>
      <c r="AF16" s="2" t="s">
        <v>1</v>
      </c>
      <c r="AG16" s="2">
        <v>0</v>
      </c>
      <c r="AH16" s="2">
        <v>2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XXXXXXXXXXXXXXXXXXXX!20W00X0X00W02XXXXXXXXXXXXXXXXXXXXXXXXXXXXXX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>
        <v>0</v>
      </c>
      <c r="W17" s="2">
        <v>0</v>
      </c>
      <c r="X17" s="2" t="s">
        <v>0</v>
      </c>
      <c r="Y17" s="2">
        <v>2</v>
      </c>
      <c r="Z17" s="2">
        <v>0</v>
      </c>
      <c r="AA17" s="2" t="s">
        <v>3</v>
      </c>
      <c r="AB17" s="2">
        <v>0</v>
      </c>
      <c r="AC17" s="2" t="s">
        <v>3</v>
      </c>
      <c r="AD17" s="2">
        <v>0</v>
      </c>
      <c r="AE17" s="2">
        <v>2</v>
      </c>
      <c r="AF17" s="2" t="s">
        <v>0</v>
      </c>
      <c r="AG17" s="2">
        <v>0</v>
      </c>
      <c r="AH17" s="2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XXXXXXXXXXXXXXXXXXXXX00X20D0D02X00XXXXXXXXXXXXXXXXXXXXXXXXXXXXXX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>
        <v>2</v>
      </c>
      <c r="W18" s="2" t="s">
        <v>45</v>
      </c>
      <c r="X18" s="2" t="s">
        <v>3</v>
      </c>
      <c r="Y18" s="2">
        <v>0</v>
      </c>
      <c r="Z18" s="2" t="s">
        <v>45</v>
      </c>
      <c r="AA18" s="2" t="s">
        <v>0</v>
      </c>
      <c r="AB18" s="2" t="s">
        <v>2</v>
      </c>
      <c r="AC18" s="2" t="s">
        <v>0</v>
      </c>
      <c r="AD18" s="2" t="s">
        <v>45</v>
      </c>
      <c r="AE18" s="2">
        <v>0</v>
      </c>
      <c r="AF18" s="2" t="s">
        <v>3</v>
      </c>
      <c r="AG18" s="2" t="s">
        <v>45</v>
      </c>
      <c r="AH18" s="2">
        <v>2</v>
      </c>
      <c r="AI18" s="2" t="s">
        <v>159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XXXXXXXXXXXXXXXXXXXXX2CD0CXAXC0DC2!XXXXXXXXXXXXXXXXXXXXXXXXXXXXX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>
        <v>0</v>
      </c>
      <c r="W19" s="2">
        <v>0</v>
      </c>
      <c r="X19" s="2" t="s">
        <v>0</v>
      </c>
      <c r="Y19" s="2">
        <v>2</v>
      </c>
      <c r="Z19" s="2">
        <v>0</v>
      </c>
      <c r="AA19" s="2" t="s">
        <v>1</v>
      </c>
      <c r="AB19" s="2">
        <v>0</v>
      </c>
      <c r="AC19" s="2" t="s">
        <v>1</v>
      </c>
      <c r="AD19" s="2">
        <v>0</v>
      </c>
      <c r="AE19" s="2">
        <v>2</v>
      </c>
      <c r="AF19" s="2" t="s">
        <v>0</v>
      </c>
      <c r="AG19" s="2">
        <v>0</v>
      </c>
      <c r="AH19" s="2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XXXXXXXXXXXXXXXXXXXXX00X20W0W02X00XXXXXXXXXXXXXXXXXXXXXXXXXXXXXX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135</v>
      </c>
      <c r="W20" s="2">
        <v>0</v>
      </c>
      <c r="X20" s="2" t="s">
        <v>1</v>
      </c>
      <c r="Y20" s="2">
        <v>0</v>
      </c>
      <c r="Z20" s="2">
        <v>0</v>
      </c>
      <c r="AA20" s="2" t="s">
        <v>0</v>
      </c>
      <c r="AB20" s="2">
        <v>0</v>
      </c>
      <c r="AC20" s="2" t="s">
        <v>0</v>
      </c>
      <c r="AD20" s="2">
        <v>0</v>
      </c>
      <c r="AE20" s="2">
        <v>0</v>
      </c>
      <c r="AF20" s="2" t="s">
        <v>1</v>
      </c>
      <c r="AG20" s="2">
        <v>0</v>
      </c>
      <c r="AH20" s="2">
        <v>2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XXXXXXXXXXXXXXXXXXXXXK0W00X0X00W02XXXXXXXXXXXXXXXXXXXXXXXXXXXXXX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159</v>
      </c>
      <c r="W21" s="2" t="s">
        <v>0</v>
      </c>
      <c r="X21" s="2" t="s">
        <v>0</v>
      </c>
      <c r="Y21" s="2" t="s">
        <v>0</v>
      </c>
      <c r="Z21" s="2" t="s">
        <v>159</v>
      </c>
      <c r="AA21" s="2" t="s">
        <v>159</v>
      </c>
      <c r="AB21" s="2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XXXXXXXXXXXXXXXXXXXXX!XXX!!0XXXXXXXXXXXXXXXXXXXXXXXXXXXXXXXXXXXX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>
        <v>0</v>
      </c>
      <c r="AC22" s="2" t="s">
        <v>0</v>
      </c>
      <c r="AD22" s="2" t="s">
        <v>165</v>
      </c>
      <c r="AE22" s="2" t="s">
        <v>165</v>
      </c>
      <c r="AF22" s="2" t="s">
        <v>165</v>
      </c>
      <c r="AG22" s="2" t="s">
        <v>165</v>
      </c>
      <c r="AH22" s="2" t="s">
        <v>165</v>
      </c>
      <c r="AI22" s="2" t="s">
        <v>165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XXXXXXXXXXXXXXXXXXXXXXXXXXX0X######XXXXXXXXXXXXXXXXXXXXXXXXXXXXX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>
        <v>0</v>
      </c>
      <c r="M23" s="2">
        <v>0</v>
      </c>
      <c r="N23" s="2">
        <v>0</v>
      </c>
      <c r="O23" s="2">
        <v>0</v>
      </c>
      <c r="P23" s="2" t="s">
        <v>0</v>
      </c>
      <c r="Q23" s="2">
        <v>0</v>
      </c>
      <c r="R23" s="2">
        <v>0</v>
      </c>
      <c r="S23" s="2">
        <v>0</v>
      </c>
      <c r="T23" s="2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>
        <v>0</v>
      </c>
      <c r="Z23" s="2" t="s">
        <v>141</v>
      </c>
      <c r="AA23" s="2">
        <v>0</v>
      </c>
      <c r="AB23" s="2">
        <v>0</v>
      </c>
      <c r="AC23" s="2">
        <v>0</v>
      </c>
      <c r="AD23" s="2" t="s">
        <v>3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 t="s">
        <v>165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XXXXXXXXXXX0000X0000XXXX0T000D00000#XXXXXXXXXXXXXXXXXXXXXXXXXXXX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>
        <v>0</v>
      </c>
      <c r="M24" s="2" t="s">
        <v>168</v>
      </c>
      <c r="N24" s="2" t="s">
        <v>45</v>
      </c>
      <c r="O24" s="2">
        <v>0</v>
      </c>
      <c r="P24" s="2" t="s">
        <v>3</v>
      </c>
      <c r="Q24" s="2">
        <v>0</v>
      </c>
      <c r="R24" s="2">
        <v>0</v>
      </c>
      <c r="S24" s="2" t="s">
        <v>168</v>
      </c>
      <c r="T24" s="2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2</v>
      </c>
      <c r="Z24" s="2" t="s">
        <v>0</v>
      </c>
      <c r="AA24" s="2" t="s">
        <v>159</v>
      </c>
      <c r="AB24" s="2" t="s">
        <v>0</v>
      </c>
      <c r="AC24" s="2" t="s">
        <v>159</v>
      </c>
      <c r="AD24" s="2" t="s">
        <v>165</v>
      </c>
      <c r="AE24" s="2" t="s">
        <v>4</v>
      </c>
      <c r="AF24" s="2">
        <v>0</v>
      </c>
      <c r="AG24" s="2" t="s">
        <v>4</v>
      </c>
      <c r="AH24" s="2">
        <v>0</v>
      </c>
      <c r="AI24" s="2" t="s">
        <v>4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XXXXXXXXXXX0|C0D00|0XXXXAX!X!#P0P0PXXXXXXXXXXXXXXXXXXXXXXXXXXXXX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>
        <v>0</v>
      </c>
      <c r="M25" s="2">
        <v>0</v>
      </c>
      <c r="N25" s="2">
        <v>0</v>
      </c>
      <c r="O25" s="2">
        <v>0</v>
      </c>
      <c r="P25" s="2" t="s">
        <v>0</v>
      </c>
      <c r="Q25" s="2" t="s">
        <v>45</v>
      </c>
      <c r="R25" s="2">
        <v>0</v>
      </c>
      <c r="S25" s="2">
        <v>0</v>
      </c>
      <c r="T25" s="2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4</v>
      </c>
      <c r="AF25" s="2">
        <v>0</v>
      </c>
      <c r="AG25" s="2" t="s">
        <v>4</v>
      </c>
      <c r="AH25" s="2">
        <v>0</v>
      </c>
      <c r="AI25" s="2" t="s">
        <v>4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XXXXXXXXXXX0000XC000XXXX0XXXXXP0P0PXXXXXXXXXXXXXXXXXXXXXXXXXXXXX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>
        <v>0</v>
      </c>
      <c r="M26" s="2">
        <v>0</v>
      </c>
      <c r="N26" s="2">
        <v>0</v>
      </c>
      <c r="O26" s="2">
        <v>0</v>
      </c>
      <c r="P26" s="2" t="s">
        <v>19</v>
      </c>
      <c r="Q26" s="2">
        <v>0</v>
      </c>
      <c r="R26" s="2">
        <v>0</v>
      </c>
      <c r="S26" s="2">
        <v>0</v>
      </c>
      <c r="T26" s="2">
        <v>0</v>
      </c>
      <c r="U26" s="2" t="s">
        <v>0</v>
      </c>
      <c r="V26" s="2" t="s">
        <v>0</v>
      </c>
      <c r="W26" s="2" t="s">
        <v>0</v>
      </c>
      <c r="X26" s="2" t="s">
        <v>58</v>
      </c>
      <c r="Y26" s="2">
        <v>0</v>
      </c>
      <c r="Z26" s="2" t="s">
        <v>0</v>
      </c>
      <c r="AA26" s="2" t="s">
        <v>58</v>
      </c>
      <c r="AB26" s="2">
        <v>2</v>
      </c>
      <c r="AC26" s="2" t="s">
        <v>0</v>
      </c>
      <c r="AD26" s="2" t="s">
        <v>0</v>
      </c>
      <c r="AE26" s="2" t="s">
        <v>4</v>
      </c>
      <c r="AF26" s="2">
        <v>0</v>
      </c>
      <c r="AG26" s="2" t="s">
        <v>4</v>
      </c>
      <c r="AH26" s="2">
        <v>0</v>
      </c>
      <c r="AI26" s="2" t="s">
        <v>4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XXXXXXXXXXX0000B0000XXXE0XE2XXP0P0PXXXXXXXXXXXXXXXXXXXXXXXXXXXXX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45</v>
      </c>
      <c r="M27" s="2" t="s">
        <v>168</v>
      </c>
      <c r="N27" s="2">
        <v>0</v>
      </c>
      <c r="O27" s="2">
        <v>0</v>
      </c>
      <c r="P27" s="2" t="s">
        <v>0</v>
      </c>
      <c r="Q27" s="2">
        <v>0</v>
      </c>
      <c r="R27" s="2">
        <v>0</v>
      </c>
      <c r="S27" s="2" t="s">
        <v>168</v>
      </c>
      <c r="T27" s="2">
        <v>0</v>
      </c>
      <c r="U27" s="2" t="s">
        <v>3</v>
      </c>
      <c r="V27" s="2">
        <v>0</v>
      </c>
      <c r="W27" s="2" t="s">
        <v>3</v>
      </c>
      <c r="X27" s="2">
        <v>0</v>
      </c>
      <c r="Y27" s="2">
        <v>0</v>
      </c>
      <c r="Z27" s="2" t="s">
        <v>3</v>
      </c>
      <c r="AA27" s="2">
        <v>0</v>
      </c>
      <c r="AB27" s="2">
        <v>0</v>
      </c>
      <c r="AC27" s="2" t="s">
        <v>0</v>
      </c>
      <c r="AD27" s="2" t="s">
        <v>165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 t="s">
        <v>165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XXXXXXXXXXXC|00X00|0D0D00D00X#00000#XXXXXXXXXXXXXXXXXXXXXXXXXXXX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>
        <v>0</v>
      </c>
      <c r="M28" s="2">
        <v>0</v>
      </c>
      <c r="N28" s="2">
        <v>0</v>
      </c>
      <c r="O28" s="2">
        <v>0</v>
      </c>
      <c r="P28" s="2" t="s">
        <v>19</v>
      </c>
      <c r="Q28" s="2">
        <v>0</v>
      </c>
      <c r="R28" s="2">
        <v>0</v>
      </c>
      <c r="S28" s="2">
        <v>0</v>
      </c>
      <c r="T28" s="2">
        <v>0</v>
      </c>
      <c r="U28" s="2" t="s">
        <v>0</v>
      </c>
      <c r="V28" s="2" t="s">
        <v>0</v>
      </c>
      <c r="W28" s="2" t="s">
        <v>0</v>
      </c>
      <c r="X28" s="2" t="s">
        <v>58</v>
      </c>
      <c r="Y28" s="2">
        <v>0</v>
      </c>
      <c r="Z28" s="2" t="s">
        <v>0</v>
      </c>
      <c r="AA28" s="2" t="s">
        <v>58</v>
      </c>
      <c r="AB28" s="2">
        <v>2</v>
      </c>
      <c r="AC28" s="2" t="s">
        <v>0</v>
      </c>
      <c r="AD28" s="2" t="s">
        <v>0</v>
      </c>
      <c r="AE28" s="2" t="s">
        <v>4</v>
      </c>
      <c r="AF28" s="2">
        <v>0</v>
      </c>
      <c r="AG28" s="2" t="s">
        <v>4</v>
      </c>
      <c r="AH28" s="2">
        <v>0</v>
      </c>
      <c r="AI28" s="2" t="s">
        <v>4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XXXXXXXXXXX0000B0000XXXE0XE2XXP0P0PXXXXXXXXXXXXXXXXXXXXXXXXXXXXX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>
        <v>0</v>
      </c>
      <c r="M29" s="2">
        <v>0</v>
      </c>
      <c r="N29" s="2">
        <v>0</v>
      </c>
      <c r="O29" s="2">
        <v>0</v>
      </c>
      <c r="P29" s="2" t="s">
        <v>0</v>
      </c>
      <c r="Q29" s="2">
        <v>0</v>
      </c>
      <c r="R29" s="2">
        <v>0</v>
      </c>
      <c r="S29" s="2">
        <v>0</v>
      </c>
      <c r="T29" s="2" t="s">
        <v>45</v>
      </c>
      <c r="U29" s="2" t="s">
        <v>0</v>
      </c>
      <c r="V29" s="2" t="s">
        <v>0</v>
      </c>
      <c r="W29" s="2" t="s">
        <v>0</v>
      </c>
      <c r="X29" s="2" t="s">
        <v>0</v>
      </c>
      <c r="Y29" s="2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4</v>
      </c>
      <c r="AF29" s="2">
        <v>0</v>
      </c>
      <c r="AG29" s="2" t="s">
        <v>4</v>
      </c>
      <c r="AH29" s="2">
        <v>0</v>
      </c>
      <c r="AI29" s="2" t="s">
        <v>4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XXXXXXXXXXX0000X000CXXXX0XXXXXP0P0PXXXXXXXXXXXXXXXXXXXXXXXXXXXXX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>
        <v>0</v>
      </c>
      <c r="M30" s="2" t="s">
        <v>168</v>
      </c>
      <c r="N30" s="2">
        <v>0</v>
      </c>
      <c r="O30" s="2" t="s">
        <v>45</v>
      </c>
      <c r="P30" s="2" t="s">
        <v>3</v>
      </c>
      <c r="Q30" s="2" t="s">
        <v>45</v>
      </c>
      <c r="R30" s="2">
        <v>0</v>
      </c>
      <c r="S30" s="2" t="s">
        <v>168</v>
      </c>
      <c r="T30" s="2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2</v>
      </c>
      <c r="Z30" s="2" t="s">
        <v>0</v>
      </c>
      <c r="AA30" s="2" t="s">
        <v>163</v>
      </c>
      <c r="AB30" s="2" t="s">
        <v>163</v>
      </c>
      <c r="AC30" s="2" t="s">
        <v>163</v>
      </c>
      <c r="AD30" s="2" t="s">
        <v>163</v>
      </c>
      <c r="AE30" s="2" t="s">
        <v>4</v>
      </c>
      <c r="AF30" s="2">
        <v>0</v>
      </c>
      <c r="AG30" s="2" t="s">
        <v>4</v>
      </c>
      <c r="AH30" s="2">
        <v>0</v>
      </c>
      <c r="AI30" s="2" t="s">
        <v>4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XXXXXXXXXXX0|0CDC0|0XXXXAX::::P0P0PXXXXXXXXXXXXXXXXXXXXXXXXXXXXX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>
        <v>0</v>
      </c>
      <c r="M31" s="2">
        <v>0</v>
      </c>
      <c r="N31" s="2">
        <v>0</v>
      </c>
      <c r="O31" s="2">
        <v>0</v>
      </c>
      <c r="P31" s="2" t="s">
        <v>0</v>
      </c>
      <c r="Q31" s="2">
        <v>0</v>
      </c>
      <c r="R31" s="2">
        <v>0</v>
      </c>
      <c r="S31" s="2">
        <v>0</v>
      </c>
      <c r="T31" s="2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>
        <v>0</v>
      </c>
      <c r="Z31" s="2" t="s">
        <v>5</v>
      </c>
      <c r="AA31" s="2">
        <v>0</v>
      </c>
      <c r="AB31" s="2">
        <v>0</v>
      </c>
      <c r="AC31" s="2">
        <v>0</v>
      </c>
      <c r="AD31" s="2" t="s">
        <v>5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 t="s">
        <v>165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XXXXXXXXXXX0000X0000XXXX0S000S00000#XXXXXXXXXXXXXXXXXXXXXXXXXXXX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3</v>
      </c>
      <c r="O32" s="2" t="s">
        <v>0</v>
      </c>
      <c r="P32" s="2" t="s">
        <v>0</v>
      </c>
      <c r="Q32" s="2" t="s">
        <v>0</v>
      </c>
      <c r="R32" s="2" t="s">
        <v>3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163</v>
      </c>
      <c r="AB32" s="2" t="s">
        <v>163</v>
      </c>
      <c r="AC32" s="2" t="s">
        <v>163</v>
      </c>
      <c r="AD32" s="2" t="s">
        <v>163</v>
      </c>
      <c r="AE32" s="2" t="s">
        <v>165</v>
      </c>
      <c r="AF32" s="2">
        <v>0</v>
      </c>
      <c r="AG32" s="2">
        <v>0</v>
      </c>
      <c r="AH32" s="2">
        <v>0</v>
      </c>
      <c r="AI32" s="2">
        <v>0</v>
      </c>
      <c r="AJ32" s="2" t="s">
        <v>165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XXXXXXXXXXXXXDXXXDXXXXXXXX::::#0000#XXXXXXXXXXXXXXXXXXXXXXXXXXXX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>
        <v>0</v>
      </c>
      <c r="M33" s="2">
        <v>0</v>
      </c>
      <c r="N33" s="2">
        <v>0</v>
      </c>
      <c r="O33" s="2">
        <v>0</v>
      </c>
      <c r="P33" s="2" t="s">
        <v>0</v>
      </c>
      <c r="Q33" s="2">
        <v>0</v>
      </c>
      <c r="R33" s="2">
        <v>0</v>
      </c>
      <c r="S33" s="2">
        <v>0</v>
      </c>
      <c r="T33" s="2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165</v>
      </c>
      <c r="AG33" s="2" t="s">
        <v>165</v>
      </c>
      <c r="AH33" s="2" t="s">
        <v>165</v>
      </c>
      <c r="AI33" s="2" t="s">
        <v>165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XXXXXXXXXXX0000X0000XXXXXXXXXXX####XXXXXXXXXXXXXXXXXXXXXXXXXXXXX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>
        <v>0</v>
      </c>
      <c r="M34" s="2" t="s">
        <v>168</v>
      </c>
      <c r="N34" s="2">
        <v>0</v>
      </c>
      <c r="O34" s="2">
        <v>0</v>
      </c>
      <c r="P34" s="2" t="s">
        <v>3</v>
      </c>
      <c r="Q34" s="2">
        <v>0</v>
      </c>
      <c r="R34" s="2">
        <v>0</v>
      </c>
      <c r="S34" s="2" t="s">
        <v>168</v>
      </c>
      <c r="T34" s="2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XXXXXXXXXXX0|00D00|0XXXXXXXXXXXXXXXXXXXXXXXXXXXXXXXXXXXXXXXXXXXX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>
        <v>0</v>
      </c>
      <c r="M35" s="2">
        <v>0</v>
      </c>
      <c r="N35" s="2" t="s">
        <v>45</v>
      </c>
      <c r="O35" s="2">
        <v>0</v>
      </c>
      <c r="P35" s="2" t="s">
        <v>0</v>
      </c>
      <c r="Q35" s="2">
        <v>0</v>
      </c>
      <c r="R35" s="2">
        <v>0</v>
      </c>
      <c r="S35" s="2">
        <v>0</v>
      </c>
      <c r="T35" s="2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XXXXXXXXXXX00C0X0000XXXXXXXXXXXXXXXXXXXXXXXXXXXXXXXXXXXXXXXXXXXX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>
        <v>0</v>
      </c>
      <c r="M36" s="2">
        <v>0</v>
      </c>
      <c r="N36" s="2">
        <v>0</v>
      </c>
      <c r="O36" s="2">
        <v>0</v>
      </c>
      <c r="P36" s="2" t="s">
        <v>19</v>
      </c>
      <c r="Q36" s="2" t="s">
        <v>45</v>
      </c>
      <c r="R36" s="2">
        <v>0</v>
      </c>
      <c r="S36" s="2">
        <v>0</v>
      </c>
      <c r="T36" s="2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XXXXXXXXXXX0000BC000XXXXXXXXXXXXXXXXXXXXXXXXXXXXXXXXXXXXXXXXXXXX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>
        <v>0</v>
      </c>
      <c r="M37" s="2" t="s">
        <v>168</v>
      </c>
      <c r="N37" s="2">
        <v>0</v>
      </c>
      <c r="O37" s="2">
        <v>0</v>
      </c>
      <c r="P37" s="2" t="s">
        <v>0</v>
      </c>
      <c r="Q37" s="2">
        <v>0</v>
      </c>
      <c r="R37" s="2">
        <v>0</v>
      </c>
      <c r="S37" s="2" t="s">
        <v>168</v>
      </c>
      <c r="T37" s="2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XXXXXXXXXXX0|00X00|0XXXXXXXXXXXXXXXXXXXXXXXXXXXXXXXXXXXXXXXXXXXX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>
        <v>0</v>
      </c>
      <c r="M38" s="2">
        <v>0</v>
      </c>
      <c r="N38" s="2">
        <v>0</v>
      </c>
      <c r="O38" s="2">
        <v>0</v>
      </c>
      <c r="P38" s="2" t="s">
        <v>19</v>
      </c>
      <c r="Q38" s="2">
        <v>0</v>
      </c>
      <c r="R38" s="2">
        <v>0</v>
      </c>
      <c r="S38" s="2">
        <v>0</v>
      </c>
      <c r="T38" s="2" t="s">
        <v>45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XXXXXXXXXXX0000B000CXXXXXXXXXXXXXXXXXXXXXXXXXXXXXXXXXXXXXXXXXXXX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>
        <v>0</v>
      </c>
      <c r="M39" s="2">
        <v>0</v>
      </c>
      <c r="N39" s="2" t="s">
        <v>45</v>
      </c>
      <c r="O39" s="2">
        <v>0</v>
      </c>
      <c r="P39" s="2" t="s">
        <v>0</v>
      </c>
      <c r="Q39" s="2">
        <v>0</v>
      </c>
      <c r="R39" s="2">
        <v>0</v>
      </c>
      <c r="S39" s="2">
        <v>0</v>
      </c>
      <c r="T39" s="2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XXXXXXXXXXX00C0X0000XXXXXXXXXXXXXXXXXXXXXXXXXXXXXXXXXXXXXXXXXXXX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>
        <v>0</v>
      </c>
      <c r="M40" s="2" t="s">
        <v>168</v>
      </c>
      <c r="N40" s="2">
        <v>0</v>
      </c>
      <c r="O40" s="2">
        <v>0</v>
      </c>
      <c r="P40" s="2" t="s">
        <v>3</v>
      </c>
      <c r="Q40" s="2">
        <v>0</v>
      </c>
      <c r="R40" s="2">
        <v>0</v>
      </c>
      <c r="S40" s="2" t="s">
        <v>168</v>
      </c>
      <c r="T40" s="2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XXXXXXXXXXX0|00D00|0XXXXXXXXXXXXXXXXXXXXXXXXXXXXXXXXXXXXXXXXXXXX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>
        <v>0</v>
      </c>
      <c r="M41" s="2">
        <v>0</v>
      </c>
      <c r="N41" s="2">
        <v>0</v>
      </c>
      <c r="O41" s="2">
        <v>0</v>
      </c>
      <c r="P41" s="2" t="s">
        <v>0</v>
      </c>
      <c r="Q41" s="2">
        <v>0</v>
      </c>
      <c r="R41" s="2">
        <v>0</v>
      </c>
      <c r="S41" s="2">
        <v>0</v>
      </c>
      <c r="T41" s="2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XXXXXXXXXXX0000X0000XXXXXXXXXXXXXXXXXXXXXXXXXXXXXXXXXXXXXXXXXXXX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D31:BL31 X31:AB31 A1:BL22 X32:BL32 A23:W32 A33:BL64 X23:BL30">
    <cfRule type="containsText" dxfId="10" priority="12" operator="containsText" text="X">
      <formula>NOT(ISERROR(SEARCH("X",A1)))</formula>
    </cfRule>
  </conditionalFormatting>
  <conditionalFormatting sqref="AD31:BL31 X31:AB31 A1:BL22 X32:BL32 A23:W32 A33:BL1048576 X23:BL30">
    <cfRule type="cellIs" dxfId="9" priority="1" operator="equal">
      <formula>"D"</formula>
    </cfRule>
    <cfRule type="cellIs" dxfId="8" priority="2" operator="equal">
      <formula>"G"</formula>
    </cfRule>
    <cfRule type="cellIs" dxfId="7" priority="3" operator="equal">
      <formula>"F"</formula>
    </cfRule>
    <cfRule type="cellIs" dxfId="6" priority="4" operator="equal">
      <formula>"E"</formula>
    </cfRule>
    <cfRule type="cellIs" dxfId="5" priority="6" operator="equal">
      <formula>"B"</formula>
    </cfRule>
    <cfRule type="cellIs" dxfId="4" priority="7" operator="equal">
      <formula>"C"</formula>
    </cfRule>
    <cfRule type="cellIs" dxfId="3" priority="8" operator="equal">
      <formula>"A"</formula>
    </cfRule>
    <cfRule type="cellIs" dxfId="2" priority="9" operator="equal">
      <formula>"T"</formula>
    </cfRule>
    <cfRule type="cellIs" dxfId="1" priority="10" operator="equal">
      <formula>"P"</formula>
    </cfRule>
    <cfRule type="cellIs" dxfId="0" priority="11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B1" sqref="B1:B8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  <c r="C12" s="5">
        <f>SUM(C9:C11)</f>
        <v>31744</v>
      </c>
      <c r="D12" s="5">
        <f>SUM(B12:C12)</f>
        <v>73728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G15"/>
  <sheetViews>
    <sheetView workbookViewId="0">
      <selection activeCell="A15" sqref="A15"/>
    </sheetView>
  </sheetViews>
  <sheetFormatPr defaultRowHeight="15" x14ac:dyDescent="0.25"/>
  <cols>
    <col min="1" max="1" width="13.7109375" bestFit="1" customWidth="1"/>
    <col min="3" max="3" width="9.140625" style="4"/>
    <col min="7" max="7" width="9.140625" style="4"/>
  </cols>
  <sheetData>
    <row r="1" spans="1:7" x14ac:dyDescent="0.25">
      <c r="B1" t="s">
        <v>45</v>
      </c>
      <c r="E1" t="s">
        <v>43</v>
      </c>
      <c r="F1" t="s">
        <v>50</v>
      </c>
    </row>
    <row r="2" spans="1:7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7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5" si="2">E3/3</f>
        <v>1.1666666666666667</v>
      </c>
    </row>
    <row r="4" spans="1:7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7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7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7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7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7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7" x14ac:dyDescent="0.25">
      <c r="A10" t="s">
        <v>96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7" x14ac:dyDescent="0.25">
      <c r="A11" t="s">
        <v>97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7" x14ac:dyDescent="0.25">
      <c r="A12" t="s">
        <v>114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  <row r="13" spans="1:7" x14ac:dyDescent="0.25">
      <c r="A13" t="s">
        <v>130</v>
      </c>
      <c r="E13">
        <v>8</v>
      </c>
      <c r="F13">
        <f t="shared" si="2"/>
        <v>2.6666666666666665</v>
      </c>
    </row>
    <row r="14" spans="1:7" x14ac:dyDescent="0.25">
      <c r="A14" t="s">
        <v>52</v>
      </c>
      <c r="E14">
        <v>11</v>
      </c>
      <c r="F14">
        <f t="shared" si="2"/>
        <v>3.6666666666666665</v>
      </c>
      <c r="G14" s="4">
        <f>E14/E13</f>
        <v>1.375</v>
      </c>
    </row>
    <row r="15" spans="1:7" x14ac:dyDescent="0.25">
      <c r="A15" t="s">
        <v>131</v>
      </c>
      <c r="E15">
        <v>12</v>
      </c>
      <c r="F15">
        <f t="shared" si="2"/>
        <v>4</v>
      </c>
      <c r="G15" s="4">
        <f>E15/E14</f>
        <v>1.0909090909090908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3" sqref="A3:XFD4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H15"/>
  <sheetViews>
    <sheetView workbookViewId="0">
      <selection activeCell="A16" sqref="A16"/>
    </sheetView>
  </sheetViews>
  <sheetFormatPr defaultRowHeight="15" x14ac:dyDescent="0.25"/>
  <cols>
    <col min="1" max="1" width="14.28515625" bestFit="1" customWidth="1"/>
    <col min="3" max="3" width="9.140625" style="8"/>
    <col min="5" max="5" width="9.140625" style="8"/>
    <col min="7" max="7" width="9.140625" style="9"/>
    <col min="8" max="8" width="9.140625" style="4"/>
  </cols>
  <sheetData>
    <row r="1" spans="1:8" x14ac:dyDescent="0.25">
      <c r="B1" s="13" t="s">
        <v>118</v>
      </c>
      <c r="C1" s="13"/>
      <c r="D1" s="13" t="s">
        <v>43</v>
      </c>
      <c r="E1" s="13"/>
    </row>
    <row r="2" spans="1:8" x14ac:dyDescent="0.25">
      <c r="B2" t="s">
        <v>116</v>
      </c>
      <c r="C2" s="8" t="s">
        <v>117</v>
      </c>
      <c r="D2" t="s">
        <v>116</v>
      </c>
      <c r="E2" s="8" t="s">
        <v>117</v>
      </c>
    </row>
    <row r="3" spans="1:8" x14ac:dyDescent="0.25">
      <c r="A3" t="s">
        <v>115</v>
      </c>
      <c r="B3">
        <v>32000</v>
      </c>
      <c r="C3" s="8">
        <f t="shared" ref="C3:C11" si="0">1000/B3</f>
        <v>3.125E-2</v>
      </c>
      <c r="D3">
        <v>17000</v>
      </c>
      <c r="E3" s="8">
        <f t="shared" ref="E3:E15" si="1">1000/D3</f>
        <v>5.8823529411764705E-2</v>
      </c>
    </row>
    <row r="4" spans="1:8" x14ac:dyDescent="0.25">
      <c r="A4" t="s">
        <v>119</v>
      </c>
      <c r="B4">
        <v>850</v>
      </c>
      <c r="C4" s="8">
        <f t="shared" si="0"/>
        <v>1.1764705882352942</v>
      </c>
      <c r="D4">
        <v>264</v>
      </c>
      <c r="E4" s="8">
        <f t="shared" si="1"/>
        <v>3.7878787878787881</v>
      </c>
      <c r="F4" s="8">
        <f>E4-E3</f>
        <v>3.7290552584670236</v>
      </c>
      <c r="G4" s="9">
        <f>1000/F4</f>
        <v>268.16443594646267</v>
      </c>
    </row>
    <row r="5" spans="1:8" x14ac:dyDescent="0.25">
      <c r="A5" t="s">
        <v>120</v>
      </c>
      <c r="B5">
        <v>29000</v>
      </c>
      <c r="C5" s="8">
        <f t="shared" si="0"/>
        <v>3.4482758620689655E-2</v>
      </c>
      <c r="D5">
        <v>10790</v>
      </c>
      <c r="E5" s="8">
        <f t="shared" si="1"/>
        <v>9.2678405931417976E-2</v>
      </c>
      <c r="F5" s="8">
        <f>E5-E3</f>
        <v>3.3854876519653271E-2</v>
      </c>
      <c r="G5" s="9">
        <f t="shared" ref="G5:G13" si="2">1000/F5</f>
        <v>29537.842190016105</v>
      </c>
    </row>
    <row r="6" spans="1:8" x14ac:dyDescent="0.25">
      <c r="A6" t="s">
        <v>121</v>
      </c>
      <c r="B6">
        <v>32000</v>
      </c>
      <c r="C6" s="8">
        <f t="shared" si="0"/>
        <v>3.125E-2</v>
      </c>
      <c r="D6">
        <v>10600</v>
      </c>
      <c r="E6" s="8">
        <f t="shared" si="1"/>
        <v>9.4339622641509441E-2</v>
      </c>
      <c r="F6" s="8">
        <f>E6-E3</f>
        <v>3.5516093229744736E-2</v>
      </c>
      <c r="G6" s="9">
        <f t="shared" si="2"/>
        <v>28156.249999999993</v>
      </c>
    </row>
    <row r="7" spans="1:8" x14ac:dyDescent="0.25">
      <c r="A7" t="s">
        <v>122</v>
      </c>
      <c r="B7">
        <v>32000</v>
      </c>
      <c r="C7" s="8">
        <f t="shared" si="0"/>
        <v>3.125E-2</v>
      </c>
      <c r="D7">
        <v>235</v>
      </c>
      <c r="E7" s="8">
        <f t="shared" si="1"/>
        <v>4.2553191489361701</v>
      </c>
      <c r="F7" s="8">
        <f>E7-E3</f>
        <v>4.1964956195244056</v>
      </c>
      <c r="G7" s="9">
        <f t="shared" si="2"/>
        <v>238.29406501640321</v>
      </c>
      <c r="H7" s="4">
        <f>F7/E14</f>
        <v>3.3571964956195244E-2</v>
      </c>
    </row>
    <row r="8" spans="1:8" x14ac:dyDescent="0.25">
      <c r="A8" t="s">
        <v>123</v>
      </c>
      <c r="B8">
        <v>2600</v>
      </c>
      <c r="C8" s="8">
        <f t="shared" si="0"/>
        <v>0.38461538461538464</v>
      </c>
      <c r="D8">
        <v>9</v>
      </c>
      <c r="E8" s="8">
        <f t="shared" si="1"/>
        <v>111.11111111111111</v>
      </c>
      <c r="F8" s="8">
        <f>E8-E3</f>
        <v>111.05228758169935</v>
      </c>
      <c r="G8" s="9">
        <f t="shared" si="2"/>
        <v>9.0047672297098469</v>
      </c>
    </row>
    <row r="9" spans="1:8" x14ac:dyDescent="0.25">
      <c r="A9" t="s">
        <v>124</v>
      </c>
      <c r="B9">
        <v>2800</v>
      </c>
      <c r="C9" s="8">
        <f t="shared" si="0"/>
        <v>0.35714285714285715</v>
      </c>
      <c r="D9">
        <v>9</v>
      </c>
      <c r="E9" s="8">
        <f t="shared" si="1"/>
        <v>111.11111111111111</v>
      </c>
      <c r="F9" s="8">
        <f>E9-E8</f>
        <v>0</v>
      </c>
    </row>
    <row r="10" spans="1:8" x14ac:dyDescent="0.25">
      <c r="A10" t="s">
        <v>125</v>
      </c>
      <c r="B10">
        <v>3800</v>
      </c>
      <c r="C10" s="8">
        <f t="shared" si="0"/>
        <v>0.26315789473684209</v>
      </c>
      <c r="D10">
        <v>11</v>
      </c>
      <c r="E10" s="8">
        <f t="shared" si="1"/>
        <v>90.909090909090907</v>
      </c>
      <c r="F10" s="8">
        <f>E8-E10</f>
        <v>20.202020202020208</v>
      </c>
      <c r="G10" s="9">
        <f t="shared" si="2"/>
        <v>49.499999999999986</v>
      </c>
    </row>
    <row r="11" spans="1:8" x14ac:dyDescent="0.25">
      <c r="A11" t="s">
        <v>41</v>
      </c>
      <c r="B11">
        <v>4562</v>
      </c>
      <c r="C11" s="8">
        <f t="shared" si="0"/>
        <v>0.21920210434020165</v>
      </c>
      <c r="D11">
        <v>12</v>
      </c>
      <c r="E11" s="8">
        <f t="shared" si="1"/>
        <v>83.333333333333329</v>
      </c>
      <c r="F11" s="8">
        <f>E8-E11</f>
        <v>27.777777777777786</v>
      </c>
      <c r="G11" s="9">
        <f t="shared" si="2"/>
        <v>35.999999999999993</v>
      </c>
    </row>
    <row r="12" spans="1:8" x14ac:dyDescent="0.25">
      <c r="A12" t="s">
        <v>127</v>
      </c>
      <c r="D12">
        <v>9</v>
      </c>
      <c r="E12" s="8">
        <f t="shared" si="1"/>
        <v>111.11111111111111</v>
      </c>
      <c r="F12" s="8">
        <f>E12-E8</f>
        <v>0</v>
      </c>
    </row>
    <row r="13" spans="1:8" x14ac:dyDescent="0.25">
      <c r="A13" t="s">
        <v>128</v>
      </c>
      <c r="D13">
        <v>15</v>
      </c>
      <c r="E13" s="8">
        <f t="shared" si="1"/>
        <v>66.666666666666671</v>
      </c>
      <c r="F13" s="8">
        <f>E8-E13</f>
        <v>44.444444444444443</v>
      </c>
      <c r="G13" s="9">
        <f t="shared" si="2"/>
        <v>22.5</v>
      </c>
      <c r="H13" s="4">
        <f>F13/E14</f>
        <v>0.35555555555555557</v>
      </c>
    </row>
    <row r="14" spans="1:8" x14ac:dyDescent="0.25">
      <c r="A14" t="s">
        <v>126</v>
      </c>
      <c r="D14">
        <v>8</v>
      </c>
      <c r="E14" s="8">
        <f t="shared" si="1"/>
        <v>125</v>
      </c>
    </row>
    <row r="15" spans="1:8" x14ac:dyDescent="0.25">
      <c r="A15" t="s">
        <v>129</v>
      </c>
      <c r="D15">
        <v>11</v>
      </c>
      <c r="E15" s="8">
        <f t="shared" si="1"/>
        <v>90.909090909090907</v>
      </c>
      <c r="F15" s="8">
        <f>E8-E15</f>
        <v>20.202020202020208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98B54-E046-4741-B9FA-82889E746A76}">
  <dimension ref="A1:A3"/>
  <sheetViews>
    <sheetView workbookViewId="0">
      <selection activeCell="A4" sqref="A4"/>
    </sheetView>
  </sheetViews>
  <sheetFormatPr defaultRowHeight="15" x14ac:dyDescent="0.25"/>
  <cols>
    <col min="1" max="1" width="14" bestFit="1" customWidth="1"/>
  </cols>
  <sheetData>
    <row r="1" spans="1:1" x14ac:dyDescent="0.25">
      <c r="A1" t="s">
        <v>179</v>
      </c>
    </row>
    <row r="2" spans="1:1" x14ac:dyDescent="0.25">
      <c r="A2" t="s">
        <v>180</v>
      </c>
    </row>
    <row r="3" spans="1:1" x14ac:dyDescent="0.25">
      <c r="A3" t="s">
        <v>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Optimisation</vt:lpstr>
      <vt:lpstr>Performance</vt:lpstr>
      <vt:lpstr>TIming</vt:lpstr>
      <vt:lpstr>Cheats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2026-09-20T18:33:42Z</dcterms:modified>
</cp:coreProperties>
</file>