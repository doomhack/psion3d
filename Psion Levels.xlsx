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5FC00CAD-7611-4AA1-8E08-772A3A7DCA30}" xr6:coauthVersionLast="47" xr6:coauthVersionMax="47" xr10:uidLastSave="{00000000-0000-0000-0000-000000000000}"/>
  <bookViews>
    <workbookView xWindow="-120" yWindow="-120" windowWidth="29040" windowHeight="15720" activeTab="2" xr2:uid="{72A343FB-71F0-4738-BBFF-B23B40D170FF}"/>
  </bookViews>
  <sheets>
    <sheet name="Mapbits" sheetId="4" r:id="rId1"/>
    <sheet name="Sheet2" sheetId="9" r:id="rId2"/>
    <sheet name="Sheet1" sheetId="8" r:id="rId3"/>
    <sheet name="Tiles Type" sheetId="2" r:id="rId4"/>
    <sheet name="Level 1" sheetId="1" r:id="rId5"/>
    <sheet name="Memory Budget" sheetId="3" r:id="rId6"/>
    <sheet name="Performance" sheetId="6" r:id="rId7"/>
    <sheet name="Optimisation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7" l="1"/>
  <c r="E9" i="7"/>
  <c r="F9" i="7" s="1"/>
  <c r="B10" i="3" l="1"/>
  <c r="B6" i="3" l="1"/>
  <c r="B5" i="3"/>
  <c r="B4" i="3"/>
  <c r="B3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C3" i="7" l="1"/>
  <c r="L3" i="6"/>
  <c r="L4" i="6"/>
  <c r="L2" i="6"/>
  <c r="H4" i="6"/>
  <c r="J4" i="6"/>
  <c r="J3" i="6"/>
  <c r="J2" i="6"/>
  <c r="H2" i="6"/>
  <c r="BP2" i="1" l="1"/>
  <c r="BP3" i="1"/>
  <c r="BP4" i="1"/>
  <c r="BP5" i="1"/>
  <c r="BP6" i="1"/>
  <c r="BP7" i="1"/>
  <c r="BP8" i="1"/>
  <c r="BP9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1" i="1"/>
  <c r="H3" i="6"/>
  <c r="D3" i="6"/>
  <c r="D4" i="6"/>
  <c r="D2" i="6"/>
  <c r="B12" i="3"/>
  <c r="D12" i="3" s="1"/>
  <c r="BO14" i="1"/>
  <c r="BO15" i="1"/>
  <c r="BO16" i="1"/>
  <c r="BO17" i="1"/>
  <c r="BO18" i="1"/>
  <c r="BO19" i="1"/>
  <c r="BO20" i="1"/>
  <c r="BO21" i="1"/>
  <c r="BO22" i="1"/>
  <c r="BO23" i="1"/>
  <c r="BO24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N2" i="1"/>
  <c r="BO2" i="1" s="1"/>
  <c r="BN3" i="1"/>
  <c r="BO3" i="1" s="1"/>
  <c r="BN4" i="1"/>
  <c r="BO4" i="1" s="1"/>
  <c r="BN5" i="1"/>
  <c r="BO5" i="1" s="1"/>
  <c r="BN6" i="1"/>
  <c r="BO6" i="1" s="1"/>
  <c r="BN7" i="1"/>
  <c r="BO7" i="1" s="1"/>
  <c r="BN8" i="1"/>
  <c r="BO8" i="1" s="1"/>
  <c r="BN9" i="1"/>
  <c r="BO9" i="1" s="1"/>
  <c r="BN10" i="1"/>
  <c r="BO10" i="1" s="1"/>
  <c r="BN11" i="1"/>
  <c r="BO11" i="1" s="1"/>
  <c r="BN12" i="1"/>
  <c r="BO12" i="1" s="1"/>
  <c r="BN13" i="1"/>
  <c r="BO13" i="1" s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O25" i="1" s="1"/>
  <c r="BN26" i="1"/>
  <c r="BO26" i="1" s="1"/>
  <c r="BN27" i="1"/>
  <c r="BO27" i="1" s="1"/>
  <c r="BN28" i="1"/>
  <c r="BO28" i="1" s="1"/>
  <c r="BN29" i="1"/>
  <c r="BO29" i="1" s="1"/>
  <c r="BN30" i="1"/>
  <c r="BO30" i="1" s="1"/>
  <c r="BN31" i="1"/>
  <c r="BO31" i="1" s="1"/>
  <c r="BN32" i="1"/>
  <c r="BO32" i="1" s="1"/>
  <c r="BN33" i="1"/>
  <c r="BO33" i="1" s="1"/>
  <c r="BN34" i="1"/>
  <c r="BO34" i="1" s="1"/>
  <c r="BN35" i="1"/>
  <c r="BO35" i="1" s="1"/>
  <c r="BN36" i="1"/>
  <c r="BO36" i="1" s="1"/>
  <c r="BN37" i="1"/>
  <c r="BO37" i="1" s="1"/>
  <c r="BN38" i="1"/>
  <c r="BO38" i="1" s="1"/>
  <c r="BN39" i="1"/>
  <c r="BO39" i="1" s="1"/>
  <c r="BN40" i="1"/>
  <c r="BO40" i="1" s="1"/>
  <c r="BN41" i="1"/>
  <c r="BO41" i="1" s="1"/>
  <c r="BN42" i="1"/>
  <c r="BO42" i="1" s="1"/>
  <c r="BN43" i="1"/>
  <c r="BO43" i="1" s="1"/>
  <c r="BN44" i="1"/>
  <c r="BO44" i="1" s="1"/>
  <c r="BN45" i="1"/>
  <c r="BO45" i="1" s="1"/>
  <c r="BN46" i="1"/>
  <c r="BO46" i="1" s="1"/>
  <c r="BN47" i="1"/>
  <c r="BO47" i="1" s="1"/>
  <c r="BN48" i="1"/>
  <c r="BO48" i="1" s="1"/>
  <c r="BN49" i="1"/>
  <c r="BO49" i="1" s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1" i="1"/>
  <c r="BO1" i="1" s="1"/>
  <c r="BP10" i="1" l="1"/>
</calcChain>
</file>

<file path=xl/sharedStrings.xml><?xml version="1.0" encoding="utf-8"?>
<sst xmlns="http://schemas.openxmlformats.org/spreadsheetml/2006/main" count="4189" uniqueCount="92">
  <si>
    <t>X</t>
  </si>
  <si>
    <t>W</t>
  </si>
  <si>
    <t>A</t>
  </si>
  <si>
    <t>D</t>
  </si>
  <si>
    <t>P</t>
  </si>
  <si>
    <t>S</t>
  </si>
  <si>
    <t>H</t>
  </si>
  <si>
    <t>Type</t>
  </si>
  <si>
    <t>Name</t>
  </si>
  <si>
    <t>Brick Wall</t>
  </si>
  <si>
    <t>Plain black wall</t>
  </si>
  <si>
    <t>Window</t>
  </si>
  <si>
    <t>Archway</t>
  </si>
  <si>
    <t>Unlocked Door</t>
  </si>
  <si>
    <t>Health Pack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</si>
  <si>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</si>
  <si>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</si>
  <si>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</si>
  <si>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</si>
  <si>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</si>
  <si>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</si>
  <si>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</si>
  <si>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</si>
  <si>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</si>
  <si>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</si>
  <si>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</si>
  <si>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</si>
  <si>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</si>
  <si>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</si>
  <si>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</si>
  <si>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</si>
  <si>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</si>
  <si>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</si>
  <si>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</si>
  <si>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</si>
  <si>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</si>
  <si>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</si>
  <si>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</si>
  <si>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</si>
  <si>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</si>
  <si>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Id of block/sprite etc so up to 8 types of wall/sprite etc.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</si>
  <si>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</si>
  <si>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</si>
  <si>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</si>
  <si>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</si>
  <si>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</si>
  <si>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</si>
  <si>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</si>
  <si>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</si>
  <si>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</si>
  <si>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</si>
  <si>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</si>
  <si>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</si>
  <si>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</si>
  <si>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</si>
  <si>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</si>
  <si>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</si>
  <si>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</si>
  <si>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</si>
  <si>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</si>
  <si>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</si>
  <si>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</si>
  <si>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Fodder enemy</t>
  </si>
  <si>
    <t>Mid Enemy</t>
  </si>
  <si>
    <t>F</t>
  </si>
  <si>
    <t>G</t>
  </si>
  <si>
    <t>Heavy Enetmy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</si>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</sst>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C9"/>
  <sheetViews>
    <sheetView workbookViewId="0">
      <selection activeCell="A7" sqref="A7:A9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</cols>
  <sheetData>
    <row r="1" spans="1:3" x14ac:dyDescent="0.25">
      <c r="A1" t="s">
        <v>34</v>
      </c>
      <c r="B1" t="s">
        <v>8</v>
      </c>
    </row>
    <row r="2" spans="1:3" x14ac:dyDescent="0.25">
      <c r="A2">
        <v>7</v>
      </c>
      <c r="B2" t="s">
        <v>30</v>
      </c>
      <c r="C2" t="s">
        <v>35</v>
      </c>
    </row>
    <row r="3" spans="1:3" x14ac:dyDescent="0.25">
      <c r="A3">
        <v>6</v>
      </c>
      <c r="B3" t="s">
        <v>32</v>
      </c>
      <c r="C3" t="s">
        <v>36</v>
      </c>
    </row>
    <row r="4" spans="1:3" x14ac:dyDescent="0.25">
      <c r="A4">
        <v>5</v>
      </c>
      <c r="B4" t="s">
        <v>25</v>
      </c>
      <c r="C4" t="s">
        <v>37</v>
      </c>
    </row>
    <row r="5" spans="1:3" x14ac:dyDescent="0.25">
      <c r="A5">
        <v>4</v>
      </c>
      <c r="B5" t="s">
        <v>28</v>
      </c>
      <c r="C5" t="s">
        <v>39</v>
      </c>
    </row>
    <row r="6" spans="1:3" x14ac:dyDescent="0.25">
      <c r="A6">
        <v>3</v>
      </c>
      <c r="B6" t="s">
        <v>31</v>
      </c>
      <c r="C6" t="s">
        <v>38</v>
      </c>
    </row>
    <row r="7" spans="1:3" x14ac:dyDescent="0.25">
      <c r="A7">
        <v>2</v>
      </c>
      <c r="B7" s="5" t="s">
        <v>33</v>
      </c>
      <c r="C7" s="5" t="s">
        <v>40</v>
      </c>
    </row>
    <row r="8" spans="1:3" x14ac:dyDescent="0.25">
      <c r="A8">
        <v>1</v>
      </c>
      <c r="B8" s="5"/>
      <c r="C8" s="5"/>
    </row>
    <row r="9" spans="1:3" x14ac:dyDescent="0.25">
      <c r="A9">
        <v>0</v>
      </c>
      <c r="B9" s="5"/>
      <c r="C9" s="5"/>
    </row>
  </sheetData>
  <mergeCells count="2">
    <mergeCell ref="B7:B9"/>
    <mergeCell ref="C7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84</v>
      </c>
    </row>
    <row r="2" spans="1:2" x14ac:dyDescent="0.25">
      <c r="A2">
        <v>0</v>
      </c>
      <c r="B2" t="s">
        <v>67</v>
      </c>
    </row>
    <row r="3" spans="1:2" x14ac:dyDescent="0.25">
      <c r="A3">
        <v>1</v>
      </c>
      <c r="B3" t="s">
        <v>85</v>
      </c>
    </row>
    <row r="4" spans="1:2" x14ac:dyDescent="0.25">
      <c r="A4">
        <v>2</v>
      </c>
      <c r="B4" t="s">
        <v>86</v>
      </c>
    </row>
    <row r="5" spans="1:2" x14ac:dyDescent="0.25">
      <c r="A5">
        <v>3</v>
      </c>
      <c r="B5" t="s">
        <v>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9"/>
  <sheetViews>
    <sheetView tabSelected="1" workbookViewId="0">
      <selection activeCell="E18" sqref="E18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2.7109375" bestFit="1" customWidth="1"/>
    <col min="6" max="6" width="68" bestFit="1" customWidth="1"/>
  </cols>
  <sheetData>
    <row r="1" spans="1:6" x14ac:dyDescent="0.25">
      <c r="B1" t="s">
        <v>68</v>
      </c>
      <c r="D1" t="s">
        <v>69</v>
      </c>
    </row>
    <row r="2" spans="1:6" x14ac:dyDescent="0.25">
      <c r="A2">
        <v>0</v>
      </c>
      <c r="B2" t="s">
        <v>81</v>
      </c>
      <c r="D2" t="s">
        <v>70</v>
      </c>
      <c r="E2" t="s">
        <v>74</v>
      </c>
    </row>
    <row r="3" spans="1:6" x14ac:dyDescent="0.25">
      <c r="A3">
        <v>1</v>
      </c>
      <c r="B3" t="s">
        <v>88</v>
      </c>
      <c r="D3" t="s">
        <v>71</v>
      </c>
      <c r="E3" t="s">
        <v>75</v>
      </c>
      <c r="F3" t="s">
        <v>80</v>
      </c>
    </row>
    <row r="4" spans="1:6" x14ac:dyDescent="0.25">
      <c r="A4">
        <v>2</v>
      </c>
      <c r="B4" t="s">
        <v>89</v>
      </c>
      <c r="D4" t="s">
        <v>72</v>
      </c>
      <c r="E4" t="s">
        <v>76</v>
      </c>
      <c r="F4" t="s">
        <v>79</v>
      </c>
    </row>
    <row r="5" spans="1:6" x14ac:dyDescent="0.25">
      <c r="A5">
        <v>3</v>
      </c>
      <c r="B5" t="s">
        <v>90</v>
      </c>
      <c r="D5" t="s">
        <v>73</v>
      </c>
      <c r="E5" t="s">
        <v>78</v>
      </c>
    </row>
    <row r="6" spans="1:6" x14ac:dyDescent="0.25">
      <c r="A6">
        <v>4</v>
      </c>
      <c r="B6" t="s">
        <v>91</v>
      </c>
    </row>
    <row r="7" spans="1:6" x14ac:dyDescent="0.25">
      <c r="A7">
        <v>5</v>
      </c>
      <c r="B7" t="s">
        <v>83</v>
      </c>
    </row>
    <row r="8" spans="1:6" x14ac:dyDescent="0.25">
      <c r="A8">
        <v>6</v>
      </c>
      <c r="B8" t="s">
        <v>82</v>
      </c>
    </row>
    <row r="9" spans="1:6" x14ac:dyDescent="0.25">
      <c r="A9">
        <v>7</v>
      </c>
      <c r="B9" t="s">
        <v>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F16"/>
  <sheetViews>
    <sheetView workbookViewId="0">
      <selection activeCell="A17" sqref="A17"/>
    </sheetView>
  </sheetViews>
  <sheetFormatPr defaultRowHeight="16.5" x14ac:dyDescent="0.25"/>
  <cols>
    <col min="1" max="1" width="6.42578125" style="3" bestFit="1" customWidth="1"/>
    <col min="2" max="2" width="15.140625" bestFit="1" customWidth="1"/>
  </cols>
  <sheetData>
    <row r="1" spans="1:6" x14ac:dyDescent="0.25">
      <c r="A1" s="3" t="s">
        <v>7</v>
      </c>
      <c r="B1" t="s">
        <v>8</v>
      </c>
      <c r="C1" t="s">
        <v>25</v>
      </c>
      <c r="D1" t="s">
        <v>28</v>
      </c>
      <c r="E1" t="s">
        <v>29</v>
      </c>
      <c r="F1" t="s">
        <v>32</v>
      </c>
    </row>
    <row r="2" spans="1:6" x14ac:dyDescent="0.25">
      <c r="A2" s="3">
        <v>0</v>
      </c>
      <c r="B2" t="s">
        <v>16</v>
      </c>
      <c r="C2" t="s">
        <v>26</v>
      </c>
      <c r="D2" t="s">
        <v>26</v>
      </c>
      <c r="E2" t="s">
        <v>27</v>
      </c>
      <c r="F2" t="s">
        <v>26</v>
      </c>
    </row>
    <row r="3" spans="1:6" x14ac:dyDescent="0.25">
      <c r="A3" s="3" t="s">
        <v>0</v>
      </c>
      <c r="B3" t="s">
        <v>9</v>
      </c>
      <c r="C3" t="s">
        <v>27</v>
      </c>
      <c r="D3" t="s">
        <v>27</v>
      </c>
      <c r="E3" t="s">
        <v>26</v>
      </c>
      <c r="F3" t="s">
        <v>26</v>
      </c>
    </row>
    <row r="4" spans="1:6" x14ac:dyDescent="0.25">
      <c r="A4" s="3" t="s">
        <v>4</v>
      </c>
      <c r="B4" t="s">
        <v>10</v>
      </c>
      <c r="C4" t="s">
        <v>27</v>
      </c>
      <c r="D4" t="s">
        <v>27</v>
      </c>
      <c r="E4" t="s">
        <v>26</v>
      </c>
      <c r="F4" t="s">
        <v>26</v>
      </c>
    </row>
    <row r="5" spans="1:6" x14ac:dyDescent="0.25">
      <c r="A5" s="3" t="s">
        <v>1</v>
      </c>
      <c r="B5" t="s">
        <v>11</v>
      </c>
      <c r="C5" t="s">
        <v>26</v>
      </c>
      <c r="D5" t="s">
        <v>27</v>
      </c>
      <c r="E5" t="s">
        <v>26</v>
      </c>
      <c r="F5" t="s">
        <v>26</v>
      </c>
    </row>
    <row r="6" spans="1:6" x14ac:dyDescent="0.25">
      <c r="A6" s="3" t="s">
        <v>2</v>
      </c>
      <c r="B6" t="s">
        <v>12</v>
      </c>
      <c r="C6" t="s">
        <v>26</v>
      </c>
      <c r="D6" t="s">
        <v>27</v>
      </c>
      <c r="E6" t="s">
        <v>27</v>
      </c>
      <c r="F6" t="s">
        <v>26</v>
      </c>
    </row>
    <row r="7" spans="1:6" x14ac:dyDescent="0.25">
      <c r="A7" s="3" t="s">
        <v>3</v>
      </c>
      <c r="B7" t="s">
        <v>13</v>
      </c>
      <c r="C7" t="s">
        <v>26</v>
      </c>
      <c r="D7" t="s">
        <v>27</v>
      </c>
      <c r="E7" t="s">
        <v>27</v>
      </c>
      <c r="F7" t="s">
        <v>26</v>
      </c>
    </row>
    <row r="8" spans="1:6" x14ac:dyDescent="0.25">
      <c r="A8" s="3" t="s">
        <v>6</v>
      </c>
      <c r="B8" t="s">
        <v>14</v>
      </c>
      <c r="C8" t="s">
        <v>26</v>
      </c>
      <c r="D8" t="s">
        <v>26</v>
      </c>
      <c r="E8" t="s">
        <v>27</v>
      </c>
      <c r="F8" t="s">
        <v>27</v>
      </c>
    </row>
    <row r="9" spans="1:6" x14ac:dyDescent="0.25">
      <c r="A9" s="3" t="s">
        <v>5</v>
      </c>
      <c r="B9" t="s">
        <v>15</v>
      </c>
      <c r="C9" t="s">
        <v>27</v>
      </c>
      <c r="D9" t="s">
        <v>27</v>
      </c>
      <c r="E9" t="s">
        <v>27</v>
      </c>
      <c r="F9" t="s">
        <v>26</v>
      </c>
    </row>
    <row r="10" spans="1:6" x14ac:dyDescent="0.25">
      <c r="A10" s="3" t="s">
        <v>21</v>
      </c>
      <c r="B10" t="s">
        <v>22</v>
      </c>
      <c r="C10" t="s">
        <v>26</v>
      </c>
      <c r="D10" t="s">
        <v>27</v>
      </c>
      <c r="E10" t="s">
        <v>26</v>
      </c>
      <c r="F10" t="s">
        <v>26</v>
      </c>
    </row>
    <row r="11" spans="1:6" x14ac:dyDescent="0.25">
      <c r="A11" s="3" t="s">
        <v>23</v>
      </c>
      <c r="B11" t="s">
        <v>24</v>
      </c>
      <c r="C11" t="s">
        <v>27</v>
      </c>
      <c r="D11" t="s">
        <v>27</v>
      </c>
      <c r="E11" t="s">
        <v>26</v>
      </c>
      <c r="F11" t="s">
        <v>26</v>
      </c>
    </row>
    <row r="13" spans="1:6" x14ac:dyDescent="0.25">
      <c r="A13" s="3" t="s">
        <v>61</v>
      </c>
      <c r="B13" t="s">
        <v>62</v>
      </c>
      <c r="C13" t="s">
        <v>26</v>
      </c>
      <c r="D13" t="s">
        <v>26</v>
      </c>
      <c r="E13" t="s">
        <v>27</v>
      </c>
      <c r="F13" t="s">
        <v>27</v>
      </c>
    </row>
    <row r="14" spans="1:6" x14ac:dyDescent="0.25">
      <c r="A14" s="3" t="s">
        <v>64</v>
      </c>
      <c r="B14" t="s">
        <v>63</v>
      </c>
      <c r="C14" t="s">
        <v>26</v>
      </c>
      <c r="D14" t="s">
        <v>26</v>
      </c>
      <c r="E14" t="s">
        <v>27</v>
      </c>
      <c r="F14" t="s">
        <v>27</v>
      </c>
    </row>
    <row r="15" spans="1:6" x14ac:dyDescent="0.25">
      <c r="A15" s="3" t="s">
        <v>65</v>
      </c>
      <c r="B15" t="s">
        <v>66</v>
      </c>
      <c r="C15" t="s">
        <v>26</v>
      </c>
      <c r="D15" t="s">
        <v>26</v>
      </c>
      <c r="E15" t="s">
        <v>27</v>
      </c>
      <c r="F15" t="s">
        <v>27</v>
      </c>
    </row>
    <row r="16" spans="1:6" x14ac:dyDescent="0.25">
      <c r="A16" s="3" t="s">
        <v>48</v>
      </c>
      <c r="B16" t="s">
        <v>67</v>
      </c>
      <c r="C16" t="s">
        <v>26</v>
      </c>
      <c r="D16" t="s">
        <v>26</v>
      </c>
      <c r="E16" t="s">
        <v>27</v>
      </c>
      <c r="F16" t="s">
        <v>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P64"/>
  <sheetViews>
    <sheetView zoomScaleNormal="100" workbookViewId="0">
      <selection activeCell="AH3" sqref="AH3"/>
    </sheetView>
  </sheetViews>
  <sheetFormatPr defaultRowHeight="15" x14ac:dyDescent="0.25"/>
  <cols>
    <col min="1" max="64" width="2.5703125" style="2" bestFit="1" customWidth="1"/>
    <col min="66" max="66" width="76.42578125" style="1" bestFit="1" customWidth="1"/>
    <col min="67" max="67" width="83.5703125" bestFit="1" customWidth="1"/>
    <col min="68" max="68" width="172.28515625" bestFit="1" customWidth="1"/>
  </cols>
  <sheetData>
    <row r="1" spans="1:68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>
        <v>1</v>
      </c>
      <c r="BN1" s="1" t="str">
        <f>_xlfn.TEXTJOIN("",TRUE,A1:BL1)</f>
        <v>XXXXXXXXXXXXXXXXXXXXXXXXXXXXXXXXXXXXXXXXXXXXXXXXXXXXXXXXXXXXXXXX</v>
      </c>
      <c r="BO1" t="str">
        <f>"m$("&amp;BM1&amp;")="&amp;""""&amp;BN1&amp;""""</f>
        <v>m$(1)="XXXXXXXXXXXXXXXXXXXXXXXXXXXXXXXXXXXXXXXXXXXXXXXXXXXXXXXXXXXXXXXX"</v>
      </c>
      <c r="BP1" t="str">
        <f>"{"&amp;""""&amp;BN1&amp;""""&amp;"},"</f>
        <v>{"XXXXXXXXXXXXXXXXXXXXXXXXXXXXXXXXXXXXXXXXXXXXXXXXXXXXXXXXXXXXXXXX"},</v>
      </c>
    </row>
    <row r="2" spans="1:68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6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>
        <v>2</v>
      </c>
      <c r="BN2" s="1" t="str">
        <f t="shared" ref="BN2:BN64" si="0">_xlfn.TEXTJOIN("",TRUE,A2:BL2)</f>
        <v>XXXXXXXXXXXXXXXXXXXXXXXXXXX0000D0H00A00A00XXXXXXXXXXXXXXXXXXXXXX</v>
      </c>
      <c r="BO2" t="str">
        <f t="shared" ref="BO2:BO64" si="1">"m$("&amp;BM2&amp;")="&amp;""""&amp;BN2&amp;""""</f>
        <v>m$(2)="XXXXXXXXXXXXXXXXXXXXXXXXXXX0000D0H00A00A00XXXXXXXXXXXXXXXXXXXXXX"</v>
      </c>
      <c r="BP2" t="str">
        <f t="shared" ref="BP2:BP64" si="2">"{"&amp;""""&amp;BN2&amp;""""&amp;"},"</f>
        <v>{"XXXXXXXXXXXXXXXXXXXXXXXXXXX0000D0H00A00A00XXXXXXXXXXXXXXXXXXXXXX"},</v>
      </c>
    </row>
    <row r="3" spans="1:68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21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>
        <v>3</v>
      </c>
      <c r="BN3" s="1" t="str">
        <f t="shared" si="0"/>
        <v>XXXXXXXXXXXXXXXXXXXXXXXXXXXAXBXXXSXXXXXXXXXXXXXXXXXXXXXXXXXXXXXX</v>
      </c>
      <c r="BO3" t="str">
        <f t="shared" si="1"/>
        <v>m$(3)="XXXXXXXXXXXXXXXXXXXXXXXXXXXAXBXXXSXXXXXXXXXXXXXXXXXXXXXXXXXXXXXX"</v>
      </c>
      <c r="BP3" t="str">
        <f t="shared" si="2"/>
        <v>{"XXXXXXXXXXXXXXXXXXXXXXXXXXXAXBXXXSXXXXXXXXXXXXXXXXXXXXXXXXXXXXXX"},</v>
      </c>
    </row>
    <row r="4" spans="1:68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>
        <v>4</v>
      </c>
      <c r="BN4" s="1" t="str">
        <f t="shared" si="0"/>
        <v>XXXXXXXXXXXXXXXXXXXXXXXXX00000XXX0XXXXXXXXXXXXXXXXXXXXXXXXXXXXXX</v>
      </c>
      <c r="BO4" t="str">
        <f t="shared" si="1"/>
        <v>m$(4)="XXXXXXXXXXXXXXXXXXXXXXXXX00000XXX0XXXXXXXXXXXXXXXXXXXXXXXXXXXXXX"</v>
      </c>
      <c r="BP4" t="str">
        <f t="shared" si="2"/>
        <v>{"XXXXXXXXXXXXXXXXXXXXXXXXX00000XXX0XXXXXXXXXXXXXXXXXXXXXXXXXXXXXX"},</v>
      </c>
    </row>
    <row r="5" spans="1:68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6</v>
      </c>
      <c r="AB5" s="2">
        <v>0</v>
      </c>
      <c r="AC5" s="2" t="s">
        <v>6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>
        <v>5</v>
      </c>
      <c r="BN5" s="1" t="str">
        <f t="shared" si="0"/>
        <v>XXXXXXXXXXXXXXXXXXXXXXXXX0H0H0XXXSXXXXXXXXXXXXXXXXXXXXXXXXXXXXXX</v>
      </c>
      <c r="BO5" t="str">
        <f t="shared" si="1"/>
        <v>m$(5)="XXXXXXXXXXXXXXXXXXXXXXXXX0H0H0XXXSXXXXXXXXXXXXXXXXXXXXXXXXXXXXXX"</v>
      </c>
      <c r="BP5" t="str">
        <f t="shared" si="2"/>
        <v>{"XXXXXXXXXXXXXXXXXXXXXXXXX0H0H0XXXSXXXXXXXXXXXXXXXXXXXXXXXXXXXXXX"},</v>
      </c>
    </row>
    <row r="6" spans="1:68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>
        <v>6</v>
      </c>
      <c r="BN6" s="1" t="str">
        <f t="shared" si="0"/>
        <v>XXXXXXXXXXXXXXXXXXX00000D00000D0A00XXXXXXXXXXXXXXXXXXXXXXXXXXXXX</v>
      </c>
      <c r="BO6" t="str">
        <f t="shared" si="1"/>
        <v>m$(6)="XXXXXXXXXXXXXXXXXXX00000D00000D0A00XXXXXXXXXXXXXXXXXXXXXXXXXXXXX"</v>
      </c>
      <c r="BP6" t="str">
        <f t="shared" si="2"/>
        <v>{"XXXXXXXXXXXXXXXXXXX00000D00000D0A00XXXXXXXXXXXXXXXXXXXXXXXXXXXXX"},</v>
      </c>
    </row>
    <row r="7" spans="1:68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>
        <v>7</v>
      </c>
      <c r="BN7" s="1" t="str">
        <f t="shared" si="0"/>
        <v>XXXXXXXXXXXXXXXXXXXXXX0XX00000XXXX0XXXXXXXXXXXXXXXXXXXXXXXXXXXXX</v>
      </c>
      <c r="BO7" t="str">
        <f t="shared" si="1"/>
        <v>m$(7)="XXXXXXXXXXXXXXXXXXXXXX0XX00000XXXX0XXXXXXXXXXXXXXXXXXXXXXXXXXXXX"</v>
      </c>
      <c r="BP7" t="str">
        <f t="shared" si="2"/>
        <v>{"XXXXXXXXXXXXXXXXXXXXXX0XX00000XXXX0XXXXXXXXXXXXXXXXXXXXXXXXXXXXX"},</v>
      </c>
    </row>
    <row r="8" spans="1:68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>
        <v>8</v>
      </c>
      <c r="BN8" s="1" t="str">
        <f t="shared" si="0"/>
        <v>XXXXXXXXXXXXXXXXXXXXXX0XXXX0XXXXXXAXXXXXXXXXXXXXXXXXXXXXXXXXXXXX</v>
      </c>
      <c r="BO8" t="str">
        <f t="shared" si="1"/>
        <v>m$(8)="XXXXXXXXXXXXXXXXXXXXXX0XXXX0XXXXXXAXXXXXXXXXXXXXXXXXXXXXXXXXXXXX"</v>
      </c>
      <c r="BP8" t="str">
        <f t="shared" si="2"/>
        <v>{"XXXXXXXXXXXXXXXXXXXXXX0XXXX0XXXXXXAXXXXXXXXXXXXXXXXXXXXXXXXXXXXX"},</v>
      </c>
    </row>
    <row r="9" spans="1:68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>
        <v>9</v>
      </c>
      <c r="BN9" s="1" t="str">
        <f t="shared" si="0"/>
        <v>XXXXXXXXXXXXXXXXXXXXXX0XXXXDXXXXXX0XXXXXXXXXXXXXXXXXXXXXXXXXXXXX</v>
      </c>
      <c r="BO9" t="str">
        <f t="shared" si="1"/>
        <v>m$(9)="XXXXXXXXXXXXXXXXXXXXXX0XXXXDXXXXXX0XXXXXXXXXXXXXXXXXXXXXXXXXXXXX"</v>
      </c>
      <c r="BP9" t="str">
        <f t="shared" si="2"/>
        <v>{"XXXXXXXXXXXXXXXXXXXXXX0XXXXDXXXXXX0XXXXXXXXXXXXXXXXXXXXXXXXXXXXX"},</v>
      </c>
    </row>
    <row r="10" spans="1:68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>
        <v>10</v>
      </c>
      <c r="BN10" s="1" t="str">
        <f t="shared" si="0"/>
        <v>XXXXXXXXXXXXXXXXXXXXXXAXXXX0XXXXXX0XXXXXXXXXXXXXXXXXXXXXXXXXXXXX</v>
      </c>
      <c r="BO10" t="str">
        <f t="shared" si="1"/>
        <v>m$(10)="XXXXXXXXXXXXXXXXXXXXXXAXXXX0XXXXXX0XXXXXXXXXXXXXXXXXXXXXXXXXXXXX"</v>
      </c>
      <c r="BP10" t="str">
        <f t="shared" si="2"/>
        <v>{"XXXXXXXXXXXXXXXXXXXXXXAXXXX0XXXXXX0XXXXXXXXXXXXXXXXXXXXXXXXXXXXX"},</v>
      </c>
    </row>
    <row r="11" spans="1:68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>
        <v>11</v>
      </c>
      <c r="BN11" s="1" t="str">
        <f t="shared" si="0"/>
        <v>XXXXXXXXXXXXXXXXXXXXXX000X000XXXXXAXXXXXXXXXXXXXXXXXXXXXXXXXXXXX</v>
      </c>
      <c r="BO11" t="str">
        <f t="shared" si="1"/>
        <v>m$(11)="XXXXXXXXXXXXXXXXXXXXXX000X000XXXXXAXXXXXXXXXXXXXXXXXXXXXXXXXXXXX"</v>
      </c>
      <c r="BP11" t="str">
        <f t="shared" si="2"/>
        <v>{"XXXXXXXXXXXXXXXXXXXXXX000X000XXXXXAXXXXXXXXXXXXXXXXXXXXXXXXXXXXX"},</v>
      </c>
    </row>
    <row r="12" spans="1:68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>
        <v>12</v>
      </c>
      <c r="BN12" s="1" t="str">
        <f t="shared" si="0"/>
        <v>XXXXXXXXXXXXXXXXXXXXXX000W0P0XXXXX0XXXXXXXXXXXXXXXXXXXXXXXXXXXXX</v>
      </c>
      <c r="BO12" t="str">
        <f t="shared" si="1"/>
        <v>m$(12)="XXXXXXXXXXXXXXXXXXXXXX000W0P0XXXXX0XXXXXXXXXXXXXXXXXXXXXXXXXXXXX"</v>
      </c>
      <c r="BP12" t="str">
        <f t="shared" si="2"/>
        <v>{"XXXXXXXXXXXXXXXXXXXXXX000W0P0XXXXX0XXXXXXXXXXXXXXXXXXXXXXXXXXXXX"},</v>
      </c>
    </row>
    <row r="13" spans="1:68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>
        <v>13</v>
      </c>
      <c r="BN13" s="1" t="str">
        <f t="shared" si="0"/>
        <v>XXXXXXXXXXXXXXXXXXXXXX000X000XXXXX0XXXXXXXXXXXXXXXXXXXXXXXXXXXXX</v>
      </c>
      <c r="BO13" t="str">
        <f t="shared" si="1"/>
        <v>m$(13)="XXXXXXXXXXXXXXXXXXXXXX000X000XXXXX0XXXXXXXXXXXXXXXXXXXXXXXXXXXXX"</v>
      </c>
      <c r="BP13" t="str">
        <f t="shared" si="2"/>
        <v>{"XXXXXXXXXXXXXXXXXXXXXX000X000XXXXX0XXXXXXXXXXXXXXXXXXXXXXXXXXXXX"},</v>
      </c>
    </row>
    <row r="14" spans="1:68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>
        <v>14</v>
      </c>
      <c r="BN14" s="1" t="str">
        <f t="shared" si="0"/>
        <v>XXXXXXXXXXXXXXXXXXXXXXXXXXXXXXXXXXXXXXXXXXXXXXXXXXXXXXXXXXXXXXXX</v>
      </c>
      <c r="BO14" t="str">
        <f t="shared" si="1"/>
        <v>m$(14)="XXXXXXXXXXXXXXXXXXXXXXXXXXXXXXXXXXXXXXXXXXXXXXXXXXXXXXXXXXXXXXXX"</v>
      </c>
      <c r="BP14" t="str">
        <f t="shared" si="2"/>
        <v>{"XXXXXXXXXXXXXXXXXXXXXXXXXXXXXXXXXXXXXXXXXXXXXXXXXXXXXXXXXXXXXXXX"},</v>
      </c>
    </row>
    <row r="15" spans="1:68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>
        <v>15</v>
      </c>
      <c r="BN15" s="1" t="str">
        <f t="shared" si="0"/>
        <v>XXXXXXXXXXXXXXXXXXXXXXXXXXXXXXXXXXXXXXXXXXXXXXXXXXXXXXXXXXXXXXXX</v>
      </c>
      <c r="BO15" t="str">
        <f t="shared" si="1"/>
        <v>m$(15)="XXXXXXXXXXXXXXXXXXXXXXXXXXXXXXXXXXXXXXXXXXXXXXXXXXXXXXXXXXXXXXXX"</v>
      </c>
      <c r="BP15" t="str">
        <f t="shared" si="2"/>
        <v>{"XXXXXXXXXXXXXXXXXXXXXXXXXXXXXXXXXXXXXXXXXXXXXXXXXXXXXXXXXXXXXXXX"},</v>
      </c>
    </row>
    <row r="16" spans="1:68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>
        <v>16</v>
      </c>
      <c r="BN16" s="1" t="str">
        <f t="shared" si="0"/>
        <v>XXXXXXXXXXXXXXXXXXXXXXXXXXXXXXXXXXXXXXXXXXXXXXXXXXXXXXXXXXXXXXXX</v>
      </c>
      <c r="BO16" t="str">
        <f t="shared" si="1"/>
        <v>m$(16)="XXXXXXXXXXXXXXXXXXXXXXXXXXXXXXXXXXXXXXXXXXXXXXXXXXXXXXXXXXXXXXXX"</v>
      </c>
      <c r="BP16" t="str">
        <f t="shared" si="2"/>
        <v>{"XXXXXXXXXXXXXXXXXXXXXXXXXXXXXXXXXXXXXXXXXXXXXXXXXXXXXXXXXXXXXXXX"},</v>
      </c>
    </row>
    <row r="17" spans="1:68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>
        <v>17</v>
      </c>
      <c r="BN17" s="1" t="str">
        <f t="shared" si="0"/>
        <v>XXXXXXXXXXXXXXXXXXXXXXXXXXXXXXXXXXXXXXXXXXXXXXXXXXXXXXXXXXXXXXXX</v>
      </c>
      <c r="BO17" t="str">
        <f t="shared" si="1"/>
        <v>m$(17)="XXXXXXXXXXXXXXXXXXXXXXXXXXXXXXXXXXXXXXXXXXXXXXXXXXXXXXXXXXXXXXXX"</v>
      </c>
      <c r="BP17" t="str">
        <f t="shared" si="2"/>
        <v>{"XXXXXXXXXXXXXXXXXXXXXXXXXXXXXXXXXXXXXXXXXXXXXXXXXXXXXXXXXXXXXXXX"},</v>
      </c>
    </row>
    <row r="18" spans="1:68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>
        <v>18</v>
      </c>
      <c r="BN18" s="1" t="str">
        <f t="shared" si="0"/>
        <v>XXXXXXXXXXXXXXXXXXXXXXXXXXXXXXXXXXXXXXXXXXXXXXXXXXXXXXXXXXXXXXXX</v>
      </c>
      <c r="BO18" t="str">
        <f t="shared" si="1"/>
        <v>m$(18)="XXXXXXXXXXXXXXXXXXXXXXXXXXXXXXXXXXXXXXXXXXXXXXXXXXXXXXXXXXXXXXXX"</v>
      </c>
      <c r="BP18" t="str">
        <f t="shared" si="2"/>
        <v>{"XXXXXXXXXXXXXXXXXXXXXXXXXXXXXXXXXXXXXXXXXXXXXXXXXXXXXXXXXXXXXXXX"},</v>
      </c>
    </row>
    <row r="19" spans="1:68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>
        <v>19</v>
      </c>
      <c r="BN19" s="1" t="str">
        <f t="shared" si="0"/>
        <v>XXXXXXXXXXXXXXXXXXXXXXXXXXXXXXXXXXXXXXXXXXXXXXXXXXXXXXXXXXXXXXXX</v>
      </c>
      <c r="BO19" t="str">
        <f t="shared" si="1"/>
        <v>m$(19)="XXXXXXXXXXXXXXXXXXXXXXXXXXXXXXXXXXXXXXXXXXXXXXXXXXXXXXXXXXXXXXXX"</v>
      </c>
      <c r="BP19" t="str">
        <f t="shared" si="2"/>
        <v>{"XXXXXXXXXXXXXXXXXXXXXXXXXXXXXXXXXXXXXXXXXXXXXXXXXXXXXXXXXXXXXXXX"},</v>
      </c>
    </row>
    <row r="20" spans="1:68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>
        <v>20</v>
      </c>
      <c r="BN20" s="1" t="str">
        <f t="shared" si="0"/>
        <v>XXXXXXXXXXXXXXXXXXXXXXXXXXXXXXXXXXXXXXXXXXXXXXXXXXXXXXXXXXXXXXXX</v>
      </c>
      <c r="BO20" t="str">
        <f t="shared" si="1"/>
        <v>m$(20)="XXXXXXXXXXXXXXXXXXXXXXXXXXXXXXXXXXXXXXXXXXXXXXXXXXXXXXXXXXXXXXXX"</v>
      </c>
      <c r="BP20" t="str">
        <f t="shared" si="2"/>
        <v>{"XXXXXXXXXXXXXXXXXXXXXXXXXXXXXXXXXXXXXXXXXXXXXXXXXXXXXXXXXXXXXXXX"},</v>
      </c>
    </row>
    <row r="21" spans="1:68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>
        <v>21</v>
      </c>
      <c r="BN21" s="1" t="str">
        <f t="shared" si="0"/>
        <v>XXXXXXXXXXXXXXXXXXXXXXXXXXXXXXXXXXXXXXXXXXXXXXXXXXXXXXXXXXXXXXXX</v>
      </c>
      <c r="BO21" t="str">
        <f t="shared" si="1"/>
        <v>m$(21)="XXXXXXXXXXXXXXXXXXXXXXXXXXXXXXXXXXXXXXXXXXXXXXXXXXXXXXXXXXXXXXXX"</v>
      </c>
      <c r="BP21" t="str">
        <f t="shared" si="2"/>
        <v>{"XXXXXXXXXXXXXXXXXXXXXXXXXXXXXXXXXXXXXXXXXXXXXXXXXXXXXXXXXXXXXXXX"},</v>
      </c>
    </row>
    <row r="22" spans="1:68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>
        <v>22</v>
      </c>
      <c r="BN22" s="1" t="str">
        <f t="shared" si="0"/>
        <v>XXXXXXXXXXXXXXXXXXXXXXXXXXXXXXXXXXXXXXXXXXXXXXXXXXXXXXXXXXXXXXXX</v>
      </c>
      <c r="BO22" t="str">
        <f t="shared" si="1"/>
        <v>m$(22)="XXXXXXXXXXXXXXXXXXXXXXXXXXXXXXXXXXXXXXXXXXXXXXXXXXXXXXXXXXXXXXXX"</v>
      </c>
      <c r="BP22" t="str">
        <f t="shared" si="2"/>
        <v>{"XXXXXXXXXXXXXXXXXXXXXXXXXXXXXXXXXXXXXXXXXXXXXXXXXXXXXXXXXXXXXXXX"},</v>
      </c>
    </row>
    <row r="23" spans="1:68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>
        <v>23</v>
      </c>
      <c r="BN23" s="1" t="str">
        <f t="shared" si="0"/>
        <v>XXXXXXXXXXXXXXXXXXXXXXXXXXXXXXXXXXXXXXXXXXXXXXXXXXXXXXXXXXXXXXXX</v>
      </c>
      <c r="BO23" t="str">
        <f t="shared" si="1"/>
        <v>m$(23)="XXXXXXXXXXXXXXXXXXXXXXXXXXXXXXXXXXXXXXXXXXXXXXXXXXXXXXXXXXXXXXXX"</v>
      </c>
      <c r="BP23" t="str">
        <f t="shared" si="2"/>
        <v>{"XXXXXXXXXXXXXXXXXXXXXXXXXXXXXXXXXXXXXXXXXXXXXXXXXXXXXXXXXXXXXXXX"},</v>
      </c>
    </row>
    <row r="24" spans="1:68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>
        <v>24</v>
      </c>
      <c r="BN24" s="1" t="str">
        <f t="shared" si="0"/>
        <v>XXXXXXXXXXXXXXXXXXXXXXXXXXXXXXXXXXXXXXXXXXXXXXXXXXXXXXXXXXXXXXXX</v>
      </c>
      <c r="BO24" t="str">
        <f t="shared" si="1"/>
        <v>m$(24)="XXXXXXXXXXXXXXXXXXXXXXXXXXXXXXXXXXXXXXXXXXXXXXXXXXXXXXXXXXXXXXXX"</v>
      </c>
      <c r="BP24" t="str">
        <f t="shared" si="2"/>
        <v>{"XXXXXXXXXXXXXXXXXXXXXXXXXXXXXXXXXXXXXXXXXXXXXXXXXXXXXXXXXXXXXXXX"},</v>
      </c>
    </row>
    <row r="25" spans="1:68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>
        <v>25</v>
      </c>
      <c r="BN25" s="1" t="str">
        <f t="shared" si="0"/>
        <v>XXXXXXXXXXXXXXXXXXXXXXXXXXXXXXXXXXXXXXXXXXXXXXXXXXXXXXXXXXXXXXXX</v>
      </c>
      <c r="BO25" t="str">
        <f t="shared" si="1"/>
        <v>m$(25)="XXXXXXXXXXXXXXXXXXXXXXXXXXXXXXXXXXXXXXXXXXXXXXXXXXXXXXXXXXXXXXXX"</v>
      </c>
      <c r="BP25" t="str">
        <f t="shared" si="2"/>
        <v>{"XXXXXXXXXXXXXXXXXXXXXXXXXXXXXXXXXXXXXXXXXXXXXXXXXXXXXXXXXXXXXXXX"},</v>
      </c>
    </row>
    <row r="26" spans="1:68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>
        <v>26</v>
      </c>
      <c r="BN26" s="1" t="str">
        <f t="shared" si="0"/>
        <v>XXXXXXXXXXXXXXXXXXXXXXXXXXXXXXXXXXXXXXXXXXXXXXXXXXXXXXXXXXXXXXXX</v>
      </c>
      <c r="BO26" t="str">
        <f t="shared" si="1"/>
        <v>m$(26)="XXXXXXXXXXXXXXXXXXXXXXXXXXXXXXXXXXXXXXXXXXXXXXXXXXXXXXXXXXXXXXXX"</v>
      </c>
      <c r="BP26" t="str">
        <f t="shared" si="2"/>
        <v>{"XXXXXXXXXXXXXXXXXXXXXXXXXXXXXXXXXXXXXXXXXXXXXXXXXXXXXXXXXXXXXXXX"},</v>
      </c>
    </row>
    <row r="27" spans="1:68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>
        <v>27</v>
      </c>
      <c r="BN27" s="1" t="str">
        <f t="shared" si="0"/>
        <v>XXXXXXXXXXXXXXXXXXXXXXXXXXXXXXXXXXXXXXXXXXXXXXXXXXXXXXXXXXXXXXXX</v>
      </c>
      <c r="BO27" t="str">
        <f t="shared" si="1"/>
        <v>m$(27)="XXXXXXXXXXXXXXXXXXXXXXXXXXXXXXXXXXXXXXXXXXXXXXXXXXXXXXXXXXXXXXXX"</v>
      </c>
      <c r="BP27" t="str">
        <f t="shared" si="2"/>
        <v>{"XXXXXXXXXXXXXXXXXXXXXXXXXXXXXXXXXXXXXXXXXXXXXXXXXXXXXXXXXXXXXXXX"},</v>
      </c>
    </row>
    <row r="28" spans="1:68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>
        <v>28</v>
      </c>
      <c r="BN28" s="1" t="str">
        <f t="shared" si="0"/>
        <v>XXXXXXXXXXXXXXXXXXXXXXXXXXXXXXXXXXXXXXXXXXXXXXXXXXXXXXXXXXXXXXXX</v>
      </c>
      <c r="BO28" t="str">
        <f t="shared" si="1"/>
        <v>m$(28)="XXXXXXXXXXXXXXXXXXXXXXXXXXXXXXXXXXXXXXXXXXXXXXXXXXXXXXXXXXXXXXXX"</v>
      </c>
      <c r="BP28" t="str">
        <f t="shared" si="2"/>
        <v>{"XXXXXXXXXXXXXXXXXXXXXXXXXXXXXXXXXXXXXXXXXXXXXXXXXXXXXXXXXXXXXXXX"},</v>
      </c>
    </row>
    <row r="29" spans="1:68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>
        <v>29</v>
      </c>
      <c r="BN29" s="1" t="str">
        <f t="shared" si="0"/>
        <v>XXXXXXXXXXXXXXXXXXXXXXXXXXXXXXXXXXXXXXXXXXXXXXXXXXXXXXXXXXXXXXXX</v>
      </c>
      <c r="BO29" t="str">
        <f t="shared" si="1"/>
        <v>m$(29)="XXXXXXXXXXXXXXXXXXXXXXXXXXXXXXXXXXXXXXXXXXXXXXXXXXXXXXXXXXXXXXXX"</v>
      </c>
      <c r="BP29" t="str">
        <f t="shared" si="2"/>
        <v>{"XXXXXXXXXXXXXXXXXXXXXXXXXXXXXXXXXXXXXXXXXXXXXXXXXXXXXXXXXXXXXXXX"},</v>
      </c>
    </row>
    <row r="30" spans="1:68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>
        <v>30</v>
      </c>
      <c r="BN30" s="1" t="str">
        <f t="shared" si="0"/>
        <v>XXXXXXXXXXXXXXXXXXXXXXXXXXXXXXXXXXXXXXXXXXXXXXXXXXXXXXXXXXXXXXXX</v>
      </c>
      <c r="BO30" t="str">
        <f t="shared" si="1"/>
        <v>m$(30)="XXXXXXXXXXXXXXXXXXXXXXXXXXXXXXXXXXXXXXXXXXXXXXXXXXXXXXXXXXXXXXXX"</v>
      </c>
      <c r="BP30" t="str">
        <f t="shared" si="2"/>
        <v>{"XXXXXXXXXXXXXXXXXXXXXXXXXXXXXXXXXXXXXXXXXXXXXXXXXXXXXXXXXXXXXXXX"},</v>
      </c>
    </row>
    <row r="31" spans="1:68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>
        <v>31</v>
      </c>
      <c r="BN31" s="1" t="str">
        <f t="shared" si="0"/>
        <v>XXXXXXXXXXXXXXXXXXXXXXXXXXXXXXXXXXXXXXXXXXXXXXXXXXXXXXXXXXXXXXXX</v>
      </c>
      <c r="BO31" t="str">
        <f t="shared" si="1"/>
        <v>m$(31)="XXXXXXXXXXXXXXXXXXXXXXXXXXXXXXXXXXXXXXXXXXXXXXXXXXXXXXXXXXXXXXXX"</v>
      </c>
      <c r="BP31" t="str">
        <f t="shared" si="2"/>
        <v>{"XXXXXXXXXXXXXXXXXXXXXXXXXXXXXXXXXXXXXXXXXXXXXXXXXXXXXXXXXXXXXXXX"},</v>
      </c>
    </row>
    <row r="32" spans="1:68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>
        <v>32</v>
      </c>
      <c r="BN32" s="1" t="str">
        <f t="shared" si="0"/>
        <v>XXXXXXXXXXXXXXXXXXXXXXXXXXXXXXXXXXXXXXXXXXXXXXXXXXXXXXXXXXXXXXXX</v>
      </c>
      <c r="BO32" t="str">
        <f t="shared" si="1"/>
        <v>m$(32)="XXXXXXXXXXXXXXXXXXXXXXXXXXXXXXXXXXXXXXXXXXXXXXXXXXXXXXXXXXXXXXXX"</v>
      </c>
      <c r="BP32" t="str">
        <f t="shared" si="2"/>
        <v>{"XXXXXXXXXXXXXXXXXXXXXXXXXXXXXXXXXXXXXXXXXXXXXXXXXXXXXXXXXXXXXXXX"},</v>
      </c>
    </row>
    <row r="33" spans="1:68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>
        <v>33</v>
      </c>
      <c r="BN33" s="1" t="str">
        <f t="shared" si="0"/>
        <v>XXXXXXXXXXXXXXXXXXXXXXXXXXXXXXXXXXXXXXXXXXXXXXXXXXXXXXXXXXXXXXXX</v>
      </c>
      <c r="BO33" t="str">
        <f t="shared" si="1"/>
        <v>m$(33)="XXXXXXXXXXXXXXXXXXXXXXXXXXXXXXXXXXXXXXXXXXXXXXXXXXXXXXXXXXXXXXXX"</v>
      </c>
      <c r="BP33" t="str">
        <f t="shared" si="2"/>
        <v>{"XXXXXXXXXXXXXXXXXXXXXXXXXXXXXXXXXXXXXXXXXXXXXXXXXXXXXXXXXXXXXXXX"},</v>
      </c>
    </row>
    <row r="34" spans="1:68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>
        <v>34</v>
      </c>
      <c r="BN34" s="1" t="str">
        <f t="shared" si="0"/>
        <v>XXXXXXXXXXXXXXXXXXXXXXXXXXXXXXXXXXXXXXXXXXXXXXXXXXXXXXXXXXXXXXXX</v>
      </c>
      <c r="BO34" t="str">
        <f t="shared" si="1"/>
        <v>m$(34)="XXXXXXXXXXXXXXXXXXXXXXXXXXXXXXXXXXXXXXXXXXXXXXXXXXXXXXXXXXXXXXXX"</v>
      </c>
      <c r="BP34" t="str">
        <f t="shared" si="2"/>
        <v>{"XXXXXXXXXXXXXXXXXXXXXXXXXXXXXXXXXXXXXXXXXXXXXXXXXXXXXXXXXXXXXXXX"},</v>
      </c>
    </row>
    <row r="35" spans="1:68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>
        <v>35</v>
      </c>
      <c r="BN35" s="1" t="str">
        <f t="shared" si="0"/>
        <v>XXXXXXXXXXXXXXXXXXXXXXXXXXXXXXXXXXXXXXXXXXXXXXXXXXXXXXXXXXXXXXXX</v>
      </c>
      <c r="BO35" t="str">
        <f t="shared" si="1"/>
        <v>m$(35)="XXXXXXXXXXXXXXXXXXXXXXXXXXXXXXXXXXXXXXXXXXXXXXXXXXXXXXXXXXXXXXXX"</v>
      </c>
      <c r="BP35" t="str">
        <f t="shared" si="2"/>
        <v>{"XXXXXXXXXXXXXXXXXXXXXXXXXXXXXXXXXXXXXXXXXXXXXXXXXXXXXXXXXXXXXXXX"},</v>
      </c>
    </row>
    <row r="36" spans="1:68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>
        <v>36</v>
      </c>
      <c r="BN36" s="1" t="str">
        <f t="shared" si="0"/>
        <v>XXXXXXXXXXXXXXXXXXXXXXXXXXXXXXXXXXXXXXXXXXXXXXXXXXXXXXXXXXXXXXXX</v>
      </c>
      <c r="BO36" t="str">
        <f t="shared" si="1"/>
        <v>m$(36)="XXXXXXXXXXXXXXXXXXXXXXXXXXXXXXXXXXXXXXXXXXXXXXXXXXXXXXXXXXXXXXXX"</v>
      </c>
      <c r="BP36" t="str">
        <f t="shared" si="2"/>
        <v>{"XXXXXXXXXXXXXXXXXXXXXXXXXXXXXXXXXXXXXXXXXXXXXXXXXXXXXXXXXXXXXXXX"},</v>
      </c>
    </row>
    <row r="37" spans="1:68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>
        <v>37</v>
      </c>
      <c r="BN37" s="1" t="str">
        <f t="shared" si="0"/>
        <v>XXXXXXXXXXXXXXXXXXXXXXXXXXXXXXXXXXXXXXXXXXXXXXXXXXXXXXXXXXXXXXXX</v>
      </c>
      <c r="BO37" t="str">
        <f t="shared" si="1"/>
        <v>m$(37)="XXXXXXXXXXXXXXXXXXXXXXXXXXXXXXXXXXXXXXXXXXXXXXXXXXXXXXXXXXXXXXXX"</v>
      </c>
      <c r="BP37" t="str">
        <f t="shared" si="2"/>
        <v>{"XXXXXXXXXXXXXXXXXXXXXXXXXXXXXXXXXXXXXXXXXXXXXXXXXXXXXXXXXXXXXXXX"},</v>
      </c>
    </row>
    <row r="38" spans="1:68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>
        <v>38</v>
      </c>
      <c r="BN38" s="1" t="str">
        <f t="shared" si="0"/>
        <v>XXXXXXXXXXXXXXXXXXXXXXXXXXXXXXXXXXXXXXXXXXXXXXXXXXXXXXXXXXXXXXXX</v>
      </c>
      <c r="BO38" t="str">
        <f t="shared" si="1"/>
        <v>m$(38)="XXXXXXXXXXXXXXXXXXXXXXXXXXXXXXXXXXXXXXXXXXXXXXXXXXXXXXXXXXXXXXXX"</v>
      </c>
      <c r="BP38" t="str">
        <f t="shared" si="2"/>
        <v>{"XXXXXXXXXXXXXXXXXXXXXXXXXXXXXXXXXXXXXXXXXXXXXXXXXXXXXXXXXXXXXXXX"},</v>
      </c>
    </row>
    <row r="39" spans="1:68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>
        <v>39</v>
      </c>
      <c r="BN39" s="1" t="str">
        <f t="shared" si="0"/>
        <v>XXXXXXXXXXXXXXXXXXXXXXXXXXXXXXXXXXXXXXXXXXXXXXXXXXXXXXXXXXXXXXXX</v>
      </c>
      <c r="BO39" t="str">
        <f t="shared" si="1"/>
        <v>m$(39)="XXXXXXXXXXXXXXXXXXXXXXXXXXXXXXXXXXXXXXXXXXXXXXXXXXXXXXXXXXXXXXXX"</v>
      </c>
      <c r="BP39" t="str">
        <f t="shared" si="2"/>
        <v>{"XXXXXXXXXXXXXXXXXXXXXXXXXXXXXXXXXXXXXXXXXXXXXXXXXXXXXXXXXXXXXXXX"},</v>
      </c>
    </row>
    <row r="40" spans="1:68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>
        <v>40</v>
      </c>
      <c r="BN40" s="1" t="str">
        <f t="shared" si="0"/>
        <v>XXXXXXXXXXXXXXXXXXXXXXXXXXXXXXXXXXXXXXXXXXXXXXXXXXXXXXXXXXXXXXXX</v>
      </c>
      <c r="BO40" t="str">
        <f t="shared" si="1"/>
        <v>m$(40)="XXXXXXXXXXXXXXXXXXXXXXXXXXXXXXXXXXXXXXXXXXXXXXXXXXXXXXXXXXXXXXXX"</v>
      </c>
      <c r="BP40" t="str">
        <f t="shared" si="2"/>
        <v>{"XXXXXXXXXXXXXXXXXXXXXXXXXXXXXXXXXXXXXXXXXXXXXXXXXXXXXXXXXXXXXXXX"},</v>
      </c>
    </row>
    <row r="41" spans="1:68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>
        <v>41</v>
      </c>
      <c r="BN41" s="1" t="str">
        <f t="shared" si="0"/>
        <v>XXXXXXXXXXXXXXXXXXXXXXXXXXXXXXXXXXXXXXXXXXXXXXXXXXXXXXXXXXXXXXXX</v>
      </c>
      <c r="BO41" t="str">
        <f t="shared" si="1"/>
        <v>m$(41)="XXXXXXXXXXXXXXXXXXXXXXXXXXXXXXXXXXXXXXXXXXXXXXXXXXXXXXXXXXXXXXXX"</v>
      </c>
      <c r="BP41" t="str">
        <f t="shared" si="2"/>
        <v>{"XXXXXXXXXXXXXXXXXXXXXXXXXXXXXXXXXXXXXXXXXXXXXXXXXXXXXXXXXXXXXXXX"},</v>
      </c>
    </row>
    <row r="42" spans="1:68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>
        <v>42</v>
      </c>
      <c r="BN42" s="1" t="str">
        <f t="shared" si="0"/>
        <v>XXXXXXXXXXXXXXXXXXXXXXXXXXXXXXXXXXXXXXXXXXXXXXXXXXXXXXXXXXXXXXXX</v>
      </c>
      <c r="BO42" t="str">
        <f t="shared" si="1"/>
        <v>m$(42)="XXXXXXXXXXXXXXXXXXXXXXXXXXXXXXXXXXXXXXXXXXXXXXXXXXXXXXXXXXXXXXXX"</v>
      </c>
      <c r="BP42" t="str">
        <f t="shared" si="2"/>
        <v>{"XXXXXXXXXXXXXXXXXXXXXXXXXXXXXXXXXXXXXXXXXXXXXXXXXXXXXXXXXXXXXXXX"},</v>
      </c>
    </row>
    <row r="43" spans="1:68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>
        <v>43</v>
      </c>
      <c r="BN43" s="1" t="str">
        <f t="shared" si="0"/>
        <v>XXXXXXXXXXXXXXXXXXXXXXXXXXXXXXXXXXXXXXXXXXXXXXXXXXXXXXXXXXXXXXXX</v>
      </c>
      <c r="BO43" t="str">
        <f t="shared" si="1"/>
        <v>m$(43)="XXXXXXXXXXXXXXXXXXXXXXXXXXXXXXXXXXXXXXXXXXXXXXXXXXXXXXXXXXXXXXXX"</v>
      </c>
      <c r="BP43" t="str">
        <f t="shared" si="2"/>
        <v>{"XXXXXXXXXXXXXXXXXXXXXXXXXXXXXXXXXXXXXXXXXXXXXXXXXXXXXXXXXXXXXXXX"},</v>
      </c>
    </row>
    <row r="44" spans="1:68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>
        <v>44</v>
      </c>
      <c r="BN44" s="1" t="str">
        <f t="shared" si="0"/>
        <v>XXXXXXXXXXXXXXXXXXXXXXXXXXXXXXXXXXXXXXXXXXXXXXXXXXXXXXXXXXXXXXXX</v>
      </c>
      <c r="BO44" t="str">
        <f t="shared" si="1"/>
        <v>m$(44)="XXXXXXXXXXXXXXXXXXXXXXXXXXXXXXXXXXXXXXXXXXXXXXXXXXXXXXXXXXXXXXXX"</v>
      </c>
      <c r="BP44" t="str">
        <f t="shared" si="2"/>
        <v>{"XXXXXXXXXXXXXXXXXXXXXXXXXXXXXXXXXXXXXXXXXXXXXXXXXXXXXXXXXXXXXXXX"},</v>
      </c>
    </row>
    <row r="45" spans="1:68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>
        <v>45</v>
      </c>
      <c r="BN45" s="1" t="str">
        <f t="shared" si="0"/>
        <v>XXXXXXXXXXXXXXXXXXXXXXXXXXXXXXXXXXXXXXXXXXXXXXXXXXXXXXXXXXXXXXXX</v>
      </c>
      <c r="BO45" t="str">
        <f t="shared" si="1"/>
        <v>m$(45)="XXXXXXXXXXXXXXXXXXXXXXXXXXXXXXXXXXXXXXXXXXXXXXXXXXXXXXXXXXXXXXXX"</v>
      </c>
      <c r="BP45" t="str">
        <f t="shared" si="2"/>
        <v>{"XXXXXXXXXXXXXXXXXXXXXXXXXXXXXXXXXXXXXXXXXXXXXXXXXXXXXXXXXXXXXXXX"},</v>
      </c>
    </row>
    <row r="46" spans="1:68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>
        <v>46</v>
      </c>
      <c r="BN46" s="1" t="str">
        <f t="shared" si="0"/>
        <v>XXXXXXXXXXXXXXXXXXXXXXXXXXXXXXXXXXXXXXXXXXXXXXXXXXXXXXXXXXXXXXXX</v>
      </c>
      <c r="BO46" t="str">
        <f t="shared" si="1"/>
        <v>m$(46)="XXXXXXXXXXXXXXXXXXXXXXXXXXXXXXXXXXXXXXXXXXXXXXXXXXXXXXXXXXXXXXXX"</v>
      </c>
      <c r="BP46" t="str">
        <f t="shared" si="2"/>
        <v>{"XXXXXXXXXXXXXXXXXXXXXXXXXXXXXXXXXXXXXXXXXXXXXXXXXXXXXXXXXXXXXXXX"},</v>
      </c>
    </row>
    <row r="47" spans="1:68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>
        <v>47</v>
      </c>
      <c r="BN47" s="1" t="str">
        <f t="shared" si="0"/>
        <v>XXXXXXXXXXXXXXXXXXXXXXXXXXXXXXXXXXXXXXXXXXXXXXXXXXXXXXXXXXXXXXXX</v>
      </c>
      <c r="BO47" t="str">
        <f t="shared" si="1"/>
        <v>m$(47)="XXXXXXXXXXXXXXXXXXXXXXXXXXXXXXXXXXXXXXXXXXXXXXXXXXXXXXXXXXXXXXXX"</v>
      </c>
      <c r="BP47" t="str">
        <f t="shared" si="2"/>
        <v>{"XXXXXXXXXXXXXXXXXXXXXXXXXXXXXXXXXXXXXXXXXXXXXXXXXXXXXXXXXXXXXXXX"},</v>
      </c>
    </row>
    <row r="48" spans="1:68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>
        <v>48</v>
      </c>
      <c r="BN48" s="1" t="str">
        <f t="shared" si="0"/>
        <v>XXXXXXXXXXXXXXXXXXXXXXXXXXXXXXXXXXXXXXXXXXXXXXXXXXXXXXXXXXXXXXXX</v>
      </c>
      <c r="BO48" t="str">
        <f t="shared" si="1"/>
        <v>m$(48)="XXXXXXXXXXXXXXXXXXXXXXXXXXXXXXXXXXXXXXXXXXXXXXXXXXXXXXXXXXXXXXXX"</v>
      </c>
      <c r="BP48" t="str">
        <f t="shared" si="2"/>
        <v>{"XXXXXXXXXXXXXXXXXXXXXXXXXXXXXXXXXXXXXXXXXXXXXXXXXXXXXXXXXXXXXXXX"},</v>
      </c>
    </row>
    <row r="49" spans="1:68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>
        <v>49</v>
      </c>
      <c r="BN49" s="1" t="str">
        <f t="shared" si="0"/>
        <v>XXXXXXXXXXXXXXXXXXXXXXXXXXXXXXXXXXXXXXXXXXXXXXXXXXXXXXXXXXXXXXXX</v>
      </c>
      <c r="BO49" t="str">
        <f t="shared" si="1"/>
        <v>m$(49)="XXXXXXXXXXXXXXXXXXXXXXXXXXXXXXXXXXXXXXXXXXXXXXXXXXXXXXXXXXXXXXXX"</v>
      </c>
      <c r="BP49" t="str">
        <f t="shared" si="2"/>
        <v>{"XXXXXXXXXXXXXXXXXXXXXXXXXXXXXXXXXXXXXXXXXXXXXXXXXXXXXXXXXXXXXXXX"},</v>
      </c>
    </row>
    <row r="50" spans="1:68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>
        <v>50</v>
      </c>
      <c r="BN50" s="1" t="str">
        <f t="shared" si="0"/>
        <v>XXXXXXXXXXXXXXXXXXXXXXXXXXXXXXXXXXXXXXXXXXXXXXXXXXXXXXXXXXXXXXXX</v>
      </c>
      <c r="BO50" t="str">
        <f t="shared" si="1"/>
        <v>m$(50)="XXXXXXXXXXXXXXXXXXXXXXXXXXXXXXXXXXXXXXXXXXXXXXXXXXXXXXXXXXXXXXXX"</v>
      </c>
      <c r="BP50" t="str">
        <f t="shared" si="2"/>
        <v>{"XXXXXXXXXXXXXXXXXXXXXXXXXXXXXXXXXXXXXXXXXXXXXXXXXXXXXXXXXXXXXXXX"},</v>
      </c>
    </row>
    <row r="51" spans="1:68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>
        <v>51</v>
      </c>
      <c r="BN51" s="1" t="str">
        <f t="shared" si="0"/>
        <v>XXXXXXXXXXXXXXXXXXXXXXXXXXXXXXXXXXXXXXXXXXXXXXXXXXXXXXXXXXXXXXXX</v>
      </c>
      <c r="BO51" t="str">
        <f t="shared" si="1"/>
        <v>m$(51)="XXXXXXXXXXXXXXXXXXXXXXXXXXXXXXXXXXXXXXXXXXXXXXXXXXXXXXXXXXXXXXXX"</v>
      </c>
      <c r="BP51" t="str">
        <f t="shared" si="2"/>
        <v>{"XXXXXXXXXXXXXXXXXXXXXXXXXXXXXXXXXXXXXXXXXXXXXXXXXXXXXXXXXXXXXXXX"},</v>
      </c>
    </row>
    <row r="52" spans="1:68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>
        <v>52</v>
      </c>
      <c r="BN52" s="1" t="str">
        <f t="shared" si="0"/>
        <v>XXXXXXXXXXXXXXXXXXXXXXXXXXXXXXXXXXXXXXXXXXXXXXXXXXXXXXXXXXXXXXXX</v>
      </c>
      <c r="BO52" t="str">
        <f t="shared" si="1"/>
        <v>m$(52)="XXXXXXXXXXXXXXXXXXXXXXXXXXXXXXXXXXXXXXXXXXXXXXXXXXXXXXXXXXXXXXXX"</v>
      </c>
      <c r="BP52" t="str">
        <f t="shared" si="2"/>
        <v>{"XXXXXXXXXXXXXXXXXXXXXXXXXXXXXXXXXXXXXXXXXXXXXXXXXXXXXXXXXXXXXXXX"},</v>
      </c>
    </row>
    <row r="53" spans="1:68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>
        <v>53</v>
      </c>
      <c r="BN53" s="1" t="str">
        <f t="shared" si="0"/>
        <v>XXXXXXXXXXXXXXXXXXXXXXXXXXXXXXXXXXXXXXXXXXXXXXXXXXXXXXXXXXXXXXXX</v>
      </c>
      <c r="BO53" t="str">
        <f t="shared" si="1"/>
        <v>m$(53)="XXXXXXXXXXXXXXXXXXXXXXXXXXXXXXXXXXXXXXXXXXXXXXXXXXXXXXXXXXXXXXXX"</v>
      </c>
      <c r="BP53" t="str">
        <f t="shared" si="2"/>
        <v>{"XXXXXXXXXXXXXXXXXXXXXXXXXXXXXXXXXXXXXXXXXXXXXXXXXXXXXXXXXXXXXXXX"},</v>
      </c>
    </row>
    <row r="54" spans="1:68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>
        <v>54</v>
      </c>
      <c r="BN54" s="1" t="str">
        <f t="shared" si="0"/>
        <v>XXXXXXXXXXXXXXXXXXXXXXXXXXXXXXXXXXXXXXXXXXXXXXXXXXXXXXXXXXXXXXXX</v>
      </c>
      <c r="BO54" t="str">
        <f t="shared" si="1"/>
        <v>m$(54)="XXXXXXXXXXXXXXXXXXXXXXXXXXXXXXXXXXXXXXXXXXXXXXXXXXXXXXXXXXXXXXXX"</v>
      </c>
      <c r="BP54" t="str">
        <f t="shared" si="2"/>
        <v>{"XXXXXXXXXXXXXXXXXXXXXXXXXXXXXXXXXXXXXXXXXXXXXXXXXXXXXXXXXXXXXXXX"},</v>
      </c>
    </row>
    <row r="55" spans="1:68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>
        <v>55</v>
      </c>
      <c r="BN55" s="1" t="str">
        <f t="shared" si="0"/>
        <v>XXXXXXXXXXXXXXXXXXXXXXXXXXXXXXXXXXXXXXXXXXXXXXXXXXXXXXXXXXXXXXXX</v>
      </c>
      <c r="BO55" t="str">
        <f t="shared" si="1"/>
        <v>m$(55)="XXXXXXXXXXXXXXXXXXXXXXXXXXXXXXXXXXXXXXXXXXXXXXXXXXXXXXXXXXXXXXXX"</v>
      </c>
      <c r="BP55" t="str">
        <f t="shared" si="2"/>
        <v>{"XXXXXXXXXXXXXXXXXXXXXXXXXXXXXXXXXXXXXXXXXXXXXXXXXXXXXXXXXXXXXXXX"},</v>
      </c>
    </row>
    <row r="56" spans="1:68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>
        <v>56</v>
      </c>
      <c r="BN56" s="1" t="str">
        <f t="shared" si="0"/>
        <v>XXXXXXXXXXXXXXXXXXXXXXXXXXXXXXXXXXXXXXXXXXXXXXXXXXXXXXXXXXXXXXXX</v>
      </c>
      <c r="BO56" t="str">
        <f t="shared" si="1"/>
        <v>m$(56)="XXXXXXXXXXXXXXXXXXXXXXXXXXXXXXXXXXXXXXXXXXXXXXXXXXXXXXXXXXXXXXXX"</v>
      </c>
      <c r="BP56" t="str">
        <f t="shared" si="2"/>
        <v>{"XXXXXXXXXXXXXXXXXXXXXXXXXXXXXXXXXXXXXXXXXXXXXXXXXXXXXXXXXXXXXXXX"},</v>
      </c>
    </row>
    <row r="57" spans="1:68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>
        <v>57</v>
      </c>
      <c r="BN57" s="1" t="str">
        <f t="shared" si="0"/>
        <v>XXXXXXXXXXXXXXXXXXXXXXXXXXXXXXXXXXXXXXXXXXXXXXXXXXXXXXXXXXXXXXXX</v>
      </c>
      <c r="BO57" t="str">
        <f t="shared" si="1"/>
        <v>m$(57)="XXXXXXXXXXXXXXXXXXXXXXXXXXXXXXXXXXXXXXXXXXXXXXXXXXXXXXXXXXXXXXXX"</v>
      </c>
      <c r="BP57" t="str">
        <f t="shared" si="2"/>
        <v>{"XXXXXXXXXXXXXXXXXXXXXXXXXXXXXXXXXXXXXXXXXXXXXXXXXXXXXXXXXXXXXXXX"},</v>
      </c>
    </row>
    <row r="58" spans="1:68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>
        <v>58</v>
      </c>
      <c r="BN58" s="1" t="str">
        <f t="shared" si="0"/>
        <v>XXXXXXXXXXXXXXXXXXXXXXXXXXXXXXXXXXXXXXXXXXXXXXXXXXXXXXXXXXXXXXXX</v>
      </c>
      <c r="BO58" t="str">
        <f t="shared" si="1"/>
        <v>m$(58)="XXXXXXXXXXXXXXXXXXXXXXXXXXXXXXXXXXXXXXXXXXXXXXXXXXXXXXXXXXXXXXXX"</v>
      </c>
      <c r="BP58" t="str">
        <f t="shared" si="2"/>
        <v>{"XXXXXXXXXXXXXXXXXXXXXXXXXXXXXXXXXXXXXXXXXXXXXXXXXXXXXXXXXXXXXXXX"},</v>
      </c>
    </row>
    <row r="59" spans="1:68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>
        <v>59</v>
      </c>
      <c r="BN59" s="1" t="str">
        <f t="shared" si="0"/>
        <v>XXXXXXXXXXXXXXXXXXXXXXXXXXXXXXXXXXXXXXXXXXXXXXXXXXXXXXXXXXXXXXXX</v>
      </c>
      <c r="BO59" t="str">
        <f t="shared" si="1"/>
        <v>m$(59)="XXXXXXXXXXXXXXXXXXXXXXXXXXXXXXXXXXXXXXXXXXXXXXXXXXXXXXXXXXXXXXXX"</v>
      </c>
      <c r="BP59" t="str">
        <f t="shared" si="2"/>
        <v>{"XXXXXXXXXXXXXXXXXXXXXXXXXXXXXXXXXXXXXXXXXXXXXXXXXXXXXXXXXXXXXXXX"},</v>
      </c>
    </row>
    <row r="60" spans="1:68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>
        <v>60</v>
      </c>
      <c r="BN60" s="1" t="str">
        <f t="shared" si="0"/>
        <v>XXXXXXXXXXXXXXXXXXXXXXXXXXXXXXXXXXXXXXXXXXXXXXXXXXXXXXXXXXXXXXXX</v>
      </c>
      <c r="BO60" t="str">
        <f t="shared" si="1"/>
        <v>m$(60)="XXXXXXXXXXXXXXXXXXXXXXXXXXXXXXXXXXXXXXXXXXXXXXXXXXXXXXXXXXXXXXXX"</v>
      </c>
      <c r="BP60" t="str">
        <f t="shared" si="2"/>
        <v>{"XXXXXXXXXXXXXXXXXXXXXXXXXXXXXXXXXXXXXXXXXXXXXXXXXXXXXXXXXXXXXXXX"},</v>
      </c>
    </row>
    <row r="61" spans="1:68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>
        <v>61</v>
      </c>
      <c r="BN61" s="1" t="str">
        <f t="shared" si="0"/>
        <v>XXXXXXXXXXXXXXXXXXXXXXXXXXXXXXXXXXXXXXXXXXXXXXXXXXXXXXXXXXXXXXXX</v>
      </c>
      <c r="BO61" t="str">
        <f t="shared" si="1"/>
        <v>m$(61)="XXXXXXXXXXXXXXXXXXXXXXXXXXXXXXXXXXXXXXXXXXXXXXXXXXXXXXXXXXXXXXXX"</v>
      </c>
      <c r="BP61" t="str">
        <f t="shared" si="2"/>
        <v>{"XXXXXXXXXXXXXXXXXXXXXXXXXXXXXXXXXXXXXXXXXXXXXXXXXXXXXXXXXXXXXXXX"},</v>
      </c>
    </row>
    <row r="62" spans="1:68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>
        <v>62</v>
      </c>
      <c r="BN62" s="1" t="str">
        <f t="shared" si="0"/>
        <v>XXXXXXXXXXXXXXXXXXXXXXXXXXXXXXXXXXXXXXXXXXXXXXXXXXXXXXXXXXXXXXXX</v>
      </c>
      <c r="BO62" t="str">
        <f t="shared" si="1"/>
        <v>m$(62)="XXXXXXXXXXXXXXXXXXXXXXXXXXXXXXXXXXXXXXXXXXXXXXXXXXXXXXXXXXXXXXXX"</v>
      </c>
      <c r="BP62" t="str">
        <f t="shared" si="2"/>
        <v>{"XXXXXXXXXXXXXXXXXXXXXXXXXXXXXXXXXXXXXXXXXXXXXXXXXXXXXXXXXXXXXXXX"},</v>
      </c>
    </row>
    <row r="63" spans="1:68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>
        <v>63</v>
      </c>
      <c r="BN63" s="1" t="str">
        <f t="shared" si="0"/>
        <v>XXXXXXXXXXXXXXXXXXXXXXXXXXXXXXXXXXXXXXXXXXXXXXXXXXXXXXXXXXXXXXXX</v>
      </c>
      <c r="BO63" t="str">
        <f t="shared" si="1"/>
        <v>m$(63)="XXXXXXXXXXXXXXXXXXXXXXXXXXXXXXXXXXXXXXXXXXXXXXXXXXXXXXXXXXXXXXXX"</v>
      </c>
      <c r="BP63" t="str">
        <f t="shared" si="2"/>
        <v>{"XXXXXXXXXXXXXXXXXXXXXXXXXXXXXXXXXXXXXXXXXXXXXXXXXXXXXXXXXXXXXXXX"},</v>
      </c>
    </row>
    <row r="64" spans="1:68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>
        <v>64</v>
      </c>
      <c r="BN64" s="1" t="str">
        <f t="shared" si="0"/>
        <v>XXXXXXXXXXXXXXXXXXXXXXXXXXXXXXXXXXXXXXXXXXXXXXXXXXXXXXXXXXXXXXXX</v>
      </c>
      <c r="BO64" t="str">
        <f t="shared" si="1"/>
        <v>m$(64)="XXXXXXXXXXXXXXXXXXXXXXXXXXXXXXXXXXXXXXXXXXXXXXXXXXXXXXXXXXXXXXXX"</v>
      </c>
      <c r="BP64" t="str">
        <f t="shared" si="2"/>
        <v>{"XXXXXXXXXXXXXXXXXXXXXXXXXXXXXXXXXXXXXXXXXXXXXXXXXXXXXXXXXXXXXXXX"},</v>
      </c>
    </row>
  </sheetData>
  <conditionalFormatting sqref="A1:BL64">
    <cfRule type="containsText" dxfId="6" priority="7" operator="containsText" text="X">
      <formula>NOT(ISERROR(SEARCH("X",A1)))</formula>
    </cfRule>
  </conditionalFormatting>
  <conditionalFormatting sqref="A1:BL1048576">
    <cfRule type="cellIs" dxfId="5" priority="1" operator="equal">
      <formula>"B"</formula>
    </cfRule>
    <cfRule type="cellIs" dxfId="4" priority="2" operator="equal">
      <formula>"H"</formula>
    </cfRule>
    <cfRule type="cellIs" dxfId="3" priority="3" operator="equal">
      <formula>"A"</formula>
    </cfRule>
    <cfRule type="cellIs" dxfId="2" priority="4" operator="equal">
      <formula>"D"</formula>
    </cfRule>
    <cfRule type="cellIs" dxfId="1" priority="5" operator="equal">
      <formula>"P"</formula>
    </cfRule>
    <cfRule type="cellIs" dxfId="0" priority="6" operator="equal">
      <formula>"W"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2:D12"/>
  <sheetViews>
    <sheetView workbookViewId="0">
      <selection activeCell="I17" sqref="I17"/>
    </sheetView>
  </sheetViews>
  <sheetFormatPr defaultRowHeight="15" x14ac:dyDescent="0.25"/>
  <cols>
    <col min="1" max="1" width="11.85546875" bestFit="1" customWidth="1"/>
  </cols>
  <sheetData>
    <row r="2" spans="1:4" x14ac:dyDescent="0.25">
      <c r="A2" t="s">
        <v>17</v>
      </c>
      <c r="B2">
        <f>256*160*2/8</f>
        <v>10240</v>
      </c>
    </row>
    <row r="3" spans="1:4" x14ac:dyDescent="0.25">
      <c r="A3" t="s">
        <v>18</v>
      </c>
      <c r="B3">
        <f>64*64</f>
        <v>4096</v>
      </c>
    </row>
    <row r="4" spans="1:4" x14ac:dyDescent="0.25">
      <c r="A4" t="s">
        <v>56</v>
      </c>
      <c r="B4">
        <f>2*1024</f>
        <v>2048</v>
      </c>
    </row>
    <row r="5" spans="1:4" x14ac:dyDescent="0.25">
      <c r="A5" t="s">
        <v>57</v>
      </c>
      <c r="B5">
        <f>8*1024</f>
        <v>8192</v>
      </c>
    </row>
    <row r="6" spans="1:4" x14ac:dyDescent="0.25">
      <c r="A6" t="s">
        <v>58</v>
      </c>
      <c r="B6">
        <f>HEX2DEC("2000")</f>
        <v>8192</v>
      </c>
    </row>
    <row r="7" spans="1:4" x14ac:dyDescent="0.25">
      <c r="A7" t="s">
        <v>59</v>
      </c>
      <c r="B7">
        <v>4096</v>
      </c>
    </row>
    <row r="8" spans="1:4" x14ac:dyDescent="0.25">
      <c r="A8" t="s">
        <v>60</v>
      </c>
      <c r="B8">
        <v>1024</v>
      </c>
    </row>
    <row r="10" spans="1:4" x14ac:dyDescent="0.25">
      <c r="A10" t="s">
        <v>19</v>
      </c>
      <c r="B10">
        <f>SUM(B2:B8)</f>
        <v>37888</v>
      </c>
    </row>
    <row r="12" spans="1:4" x14ac:dyDescent="0.25">
      <c r="A12" t="s">
        <v>20</v>
      </c>
      <c r="B12">
        <f>65536-B10</f>
        <v>27648</v>
      </c>
      <c r="D12" s="4">
        <f>B12/65536</f>
        <v>0.421875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J2" sqref="J2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41</v>
      </c>
      <c r="C1" t="s">
        <v>46</v>
      </c>
      <c r="D1" t="s">
        <v>45</v>
      </c>
      <c r="F1" t="s">
        <v>41</v>
      </c>
      <c r="G1" t="s">
        <v>46</v>
      </c>
      <c r="H1" t="s">
        <v>45</v>
      </c>
      <c r="J1" t="s">
        <v>47</v>
      </c>
    </row>
    <row r="2" spans="1:12" x14ac:dyDescent="0.25">
      <c r="A2" t="s">
        <v>42</v>
      </c>
      <c r="B2">
        <v>16</v>
      </c>
      <c r="D2">
        <f>1000/B2</f>
        <v>62.5</v>
      </c>
      <c r="F2">
        <v>630</v>
      </c>
      <c r="H2">
        <f>1000/F2</f>
        <v>1.5873015873015872</v>
      </c>
      <c r="J2">
        <f>F2/B2</f>
        <v>39.375</v>
      </c>
      <c r="L2">
        <f>F2/40</f>
        <v>15.75</v>
      </c>
    </row>
    <row r="3" spans="1:12" x14ac:dyDescent="0.25">
      <c r="A3" t="s">
        <v>43</v>
      </c>
      <c r="B3">
        <v>640</v>
      </c>
      <c r="C3">
        <v>16</v>
      </c>
      <c r="D3">
        <f>1000/B3</f>
        <v>1.5625</v>
      </c>
      <c r="F3">
        <v>790</v>
      </c>
      <c r="H3">
        <f>1000/F3</f>
        <v>1.2658227848101267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44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9"/>
  <sheetViews>
    <sheetView workbookViewId="0">
      <selection activeCell="A9" sqref="A9"/>
    </sheetView>
  </sheetViews>
  <sheetFormatPr defaultRowHeight="15" x14ac:dyDescent="0.25"/>
  <cols>
    <col min="1" max="1" width="12.85546875" bestFit="1" customWidth="1"/>
    <col min="3" max="3" width="9.140625" style="4"/>
  </cols>
  <sheetData>
    <row r="1" spans="1:6" x14ac:dyDescent="0.25">
      <c r="B1" t="s">
        <v>48</v>
      </c>
      <c r="E1" t="s">
        <v>46</v>
      </c>
      <c r="F1" t="s">
        <v>53</v>
      </c>
    </row>
    <row r="2" spans="1:6" x14ac:dyDescent="0.25">
      <c r="A2" t="s">
        <v>42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49</v>
      </c>
      <c r="B3">
        <v>140</v>
      </c>
      <c r="C3" s="4">
        <f t="shared" ref="C3:C9" si="0">(B3/$B$2)-1</f>
        <v>7.6923076923076872E-2</v>
      </c>
      <c r="E3">
        <f t="shared" ref="E3:E9" si="1">B3/40</f>
        <v>3.5</v>
      </c>
      <c r="F3">
        <f t="shared" ref="F3:F9" si="2">E3/3</f>
        <v>1.1666666666666667</v>
      </c>
    </row>
    <row r="4" spans="1:6" x14ac:dyDescent="0.25">
      <c r="A4" t="s">
        <v>50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51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52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54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55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6" x14ac:dyDescent="0.25">
      <c r="A9" t="s">
        <v>55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Mapbits</vt:lpstr>
      <vt:lpstr>Sheet2</vt:lpstr>
      <vt:lpstr>Sheet1</vt:lpstr>
      <vt:lpstr>Tiles Type</vt:lpstr>
      <vt:lpstr>Level 1</vt:lpstr>
      <vt:lpstr>Memory Budget</vt:lpstr>
      <vt:lpstr>Performance</vt:lpstr>
      <vt:lpstr>Optimisation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2026-06-26T22:39:51Z</dcterms:modified>
</cp:coreProperties>
</file>