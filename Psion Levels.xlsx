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1AD41139-157D-48AC-8623-2A0220C1B26C}" xr6:coauthVersionLast="47" xr6:coauthVersionMax="47" xr10:uidLastSave="{00000000-0000-0000-0000-000000000000}"/>
  <bookViews>
    <workbookView xWindow="-120" yWindow="-120" windowWidth="29040" windowHeight="15720" activeTab="3" xr2:uid="{72A343FB-71F0-4738-BBFF-B23B40D170FF}"/>
  </bookViews>
  <sheets>
    <sheet name="Mapbits" sheetId="4" r:id="rId1"/>
    <sheet name="Sheet1" sheetId="8" r:id="rId2"/>
    <sheet name="Tiles Type" sheetId="2" r:id="rId3"/>
    <sheet name="Level 1" sheetId="1" r:id="rId4"/>
    <sheet name="Memory Budget" sheetId="3" r:id="rId5"/>
    <sheet name="Performance" sheetId="6" r:id="rId6"/>
    <sheet name="Optimisation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" i="3" l="1"/>
  <c r="B6" i="3" l="1"/>
  <c r="B5" i="3"/>
  <c r="B4" i="3"/>
  <c r="B3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C3" i="7" l="1"/>
  <c r="L3" i="6"/>
  <c r="L4" i="6"/>
  <c r="L2" i="6"/>
  <c r="H4" i="6"/>
  <c r="J4" i="6"/>
  <c r="J3" i="6"/>
  <c r="J2" i="6"/>
  <c r="H2" i="6"/>
  <c r="BP2" i="1" l="1"/>
  <c r="BP3" i="1"/>
  <c r="BP4" i="1"/>
  <c r="BP5" i="1"/>
  <c r="BP6" i="1"/>
  <c r="BP7" i="1"/>
  <c r="BP8" i="1"/>
  <c r="BP9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1" i="1"/>
  <c r="H3" i="6"/>
  <c r="D3" i="6"/>
  <c r="D4" i="6"/>
  <c r="D2" i="6"/>
  <c r="B12" i="3"/>
  <c r="D12" i="3" s="1"/>
  <c r="BO14" i="1"/>
  <c r="BO15" i="1"/>
  <c r="BO16" i="1"/>
  <c r="BO17" i="1"/>
  <c r="BO18" i="1"/>
  <c r="BO19" i="1"/>
  <c r="BO20" i="1"/>
  <c r="BO21" i="1"/>
  <c r="BO22" i="1"/>
  <c r="BO23" i="1"/>
  <c r="BO24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N2" i="1"/>
  <c r="BO2" i="1" s="1"/>
  <c r="BN3" i="1"/>
  <c r="BO3" i="1" s="1"/>
  <c r="BN4" i="1"/>
  <c r="BO4" i="1" s="1"/>
  <c r="BN5" i="1"/>
  <c r="BO5" i="1" s="1"/>
  <c r="BN6" i="1"/>
  <c r="BO6" i="1" s="1"/>
  <c r="BN7" i="1"/>
  <c r="BO7" i="1" s="1"/>
  <c r="BN8" i="1"/>
  <c r="BO8" i="1" s="1"/>
  <c r="BN9" i="1"/>
  <c r="BO9" i="1" s="1"/>
  <c r="BN10" i="1"/>
  <c r="BO10" i="1" s="1"/>
  <c r="BN11" i="1"/>
  <c r="BO11" i="1" s="1"/>
  <c r="BN12" i="1"/>
  <c r="BO12" i="1" s="1"/>
  <c r="BN13" i="1"/>
  <c r="BO13" i="1" s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O25" i="1" s="1"/>
  <c r="BN26" i="1"/>
  <c r="BO26" i="1" s="1"/>
  <c r="BN27" i="1"/>
  <c r="BO27" i="1" s="1"/>
  <c r="BN28" i="1"/>
  <c r="BO28" i="1" s="1"/>
  <c r="BN29" i="1"/>
  <c r="BO29" i="1" s="1"/>
  <c r="BN30" i="1"/>
  <c r="BO30" i="1" s="1"/>
  <c r="BN31" i="1"/>
  <c r="BO31" i="1" s="1"/>
  <c r="BN32" i="1"/>
  <c r="BO32" i="1" s="1"/>
  <c r="BN33" i="1"/>
  <c r="BO33" i="1" s="1"/>
  <c r="BN34" i="1"/>
  <c r="BO34" i="1" s="1"/>
  <c r="BN35" i="1"/>
  <c r="BO35" i="1" s="1"/>
  <c r="BN36" i="1"/>
  <c r="BO36" i="1" s="1"/>
  <c r="BN37" i="1"/>
  <c r="BO37" i="1" s="1"/>
  <c r="BN38" i="1"/>
  <c r="BO38" i="1" s="1"/>
  <c r="BN39" i="1"/>
  <c r="BO39" i="1" s="1"/>
  <c r="BN40" i="1"/>
  <c r="BO40" i="1" s="1"/>
  <c r="BN41" i="1"/>
  <c r="BO41" i="1" s="1"/>
  <c r="BN42" i="1"/>
  <c r="BO42" i="1" s="1"/>
  <c r="BN43" i="1"/>
  <c r="BO43" i="1" s="1"/>
  <c r="BN44" i="1"/>
  <c r="BO44" i="1" s="1"/>
  <c r="BN45" i="1"/>
  <c r="BO45" i="1" s="1"/>
  <c r="BN46" i="1"/>
  <c r="BO46" i="1" s="1"/>
  <c r="BN47" i="1"/>
  <c r="BO47" i="1" s="1"/>
  <c r="BN48" i="1"/>
  <c r="BO48" i="1" s="1"/>
  <c r="BN49" i="1"/>
  <c r="BO49" i="1" s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1" i="1"/>
  <c r="BO1" i="1" s="1"/>
  <c r="BP10" i="1" l="1"/>
</calcChain>
</file>

<file path=xl/sharedStrings.xml><?xml version="1.0" encoding="utf-8"?>
<sst xmlns="http://schemas.openxmlformats.org/spreadsheetml/2006/main" count="4181" uniqueCount="86">
  <si>
    <t>X</t>
  </si>
  <si>
    <t>W</t>
  </si>
  <si>
    <t>A</t>
  </si>
  <si>
    <t>D</t>
  </si>
  <si>
    <t>P</t>
  </si>
  <si>
    <t>S</t>
  </si>
  <si>
    <t>H</t>
  </si>
  <si>
    <t>Type</t>
  </si>
  <si>
    <t>Name</t>
  </si>
  <si>
    <t>Brick Wall</t>
  </si>
  <si>
    <t>Plain black wall</t>
  </si>
  <si>
    <t>Window</t>
  </si>
  <si>
    <t>Archway</t>
  </si>
  <si>
    <t>Unlocked Door</t>
  </si>
  <si>
    <t>Health Pack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</si>
  <si>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</si>
  <si>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</si>
  <si>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</si>
  <si>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</si>
  <si>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</si>
  <si>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</si>
  <si>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</si>
  <si>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</si>
  <si>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</si>
  <si>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</si>
  <si>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</si>
  <si>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</si>
  <si>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</si>
  <si>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</si>
  <si>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</si>
  <si>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</si>
  <si>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</si>
  <si>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</si>
  <si>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</si>
  <si>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</si>
  <si>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</si>
  <si>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</si>
  <si>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</si>
  <si>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</si>
  <si>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</si>
  <si>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Id of block/sprite etc so up to 8 types of wall/sprite etc.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</si>
  <si>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</si>
  <si>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</si>
  <si>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</si>
  <si>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</si>
  <si>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</si>
  <si>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</si>
  <si>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</si>
  <si>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</si>
  <si>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</si>
  <si>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</si>
  <si>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</si>
  <si>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</si>
  <si>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</si>
  <si>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</si>
  <si>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</si>
  <si>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</si>
  <si>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</si>
  <si>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</si>
  <si>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</si>
  <si>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</si>
  <si>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</si>
  <si>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Fodder enemy</t>
  </si>
  <si>
    <t>Mid Enemy</t>
  </si>
  <si>
    <t>F</t>
  </si>
  <si>
    <t>G</t>
  </si>
  <si>
    <t>Heavy Enetmy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</si>
  <si>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</si>
  <si>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</si>
  <si>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</si>
  <si>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</si>
  <si>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</si>
  <si>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</si>
  <si>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</si>
  <si>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</si>
  <si>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</si>
  <si>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</si>
  <si>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</si>
  <si>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</si>
  <si>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</si>
  <si>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</si>
  <si>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</si>
  <si>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Walk 1</t>
  </si>
  <si>
    <t>Walk 2</t>
  </si>
  <si>
    <t>Aim</t>
  </si>
  <si>
    <t>Ouch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</si>
</sst>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C9"/>
  <sheetViews>
    <sheetView workbookViewId="0">
      <selection activeCell="C7" sqref="A1:C9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</cols>
  <sheetData>
    <row r="1" spans="1:3" x14ac:dyDescent="0.25">
      <c r="A1" t="s">
        <v>34</v>
      </c>
      <c r="B1" t="s">
        <v>8</v>
      </c>
    </row>
    <row r="2" spans="1:3" x14ac:dyDescent="0.25">
      <c r="A2">
        <v>7</v>
      </c>
      <c r="B2" t="s">
        <v>30</v>
      </c>
      <c r="C2" t="s">
        <v>35</v>
      </c>
    </row>
    <row r="3" spans="1:3" x14ac:dyDescent="0.25">
      <c r="A3">
        <v>6</v>
      </c>
      <c r="B3" t="s">
        <v>32</v>
      </c>
      <c r="C3" t="s">
        <v>36</v>
      </c>
    </row>
    <row r="4" spans="1:3" x14ac:dyDescent="0.25">
      <c r="A4">
        <v>5</v>
      </c>
      <c r="B4" t="s">
        <v>25</v>
      </c>
      <c r="C4" t="s">
        <v>37</v>
      </c>
    </row>
    <row r="5" spans="1:3" x14ac:dyDescent="0.25">
      <c r="A5">
        <v>4</v>
      </c>
      <c r="B5" t="s">
        <v>28</v>
      </c>
      <c r="C5" t="s">
        <v>39</v>
      </c>
    </row>
    <row r="6" spans="1:3" x14ac:dyDescent="0.25">
      <c r="A6">
        <v>3</v>
      </c>
      <c r="B6" t="s">
        <v>31</v>
      </c>
      <c r="C6" t="s">
        <v>38</v>
      </c>
    </row>
    <row r="7" spans="1:3" x14ac:dyDescent="0.25">
      <c r="A7">
        <v>2</v>
      </c>
      <c r="B7" s="5" t="s">
        <v>33</v>
      </c>
      <c r="C7" s="5" t="s">
        <v>40</v>
      </c>
    </row>
    <row r="8" spans="1:3" x14ac:dyDescent="0.25">
      <c r="A8">
        <v>1</v>
      </c>
      <c r="B8" s="5"/>
      <c r="C8" s="5"/>
    </row>
    <row r="9" spans="1:3" x14ac:dyDescent="0.25">
      <c r="A9">
        <v>0</v>
      </c>
      <c r="B9" s="5"/>
      <c r="C9" s="5"/>
    </row>
  </sheetData>
  <mergeCells count="2">
    <mergeCell ref="B7:B9"/>
    <mergeCell ref="C7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E7"/>
  <sheetViews>
    <sheetView workbookViewId="0">
      <selection activeCell="E4" sqref="E4"/>
    </sheetView>
  </sheetViews>
  <sheetFormatPr defaultRowHeight="15" x14ac:dyDescent="0.25"/>
  <cols>
    <col min="1" max="1" width="13.140625" bestFit="1" customWidth="1"/>
    <col min="3" max="3" width="10.28515625" bestFit="1" customWidth="1"/>
    <col min="4" max="4" width="22.7109375" bestFit="1" customWidth="1"/>
    <col min="5" max="5" width="68" bestFit="1" customWidth="1"/>
  </cols>
  <sheetData>
    <row r="1" spans="1:5" x14ac:dyDescent="0.25">
      <c r="A1" t="s">
        <v>68</v>
      </c>
      <c r="C1" t="s">
        <v>69</v>
      </c>
    </row>
    <row r="2" spans="1:5" x14ac:dyDescent="0.25">
      <c r="A2" t="s">
        <v>81</v>
      </c>
      <c r="C2" t="s">
        <v>70</v>
      </c>
      <c r="D2" t="s">
        <v>74</v>
      </c>
    </row>
    <row r="3" spans="1:5" x14ac:dyDescent="0.25">
      <c r="A3" t="s">
        <v>82</v>
      </c>
      <c r="C3" t="s">
        <v>71</v>
      </c>
      <c r="D3" t="s">
        <v>75</v>
      </c>
      <c r="E3" t="s">
        <v>80</v>
      </c>
    </row>
    <row r="4" spans="1:5" x14ac:dyDescent="0.25">
      <c r="A4" t="s">
        <v>83</v>
      </c>
      <c r="C4" t="s">
        <v>72</v>
      </c>
      <c r="D4" t="s">
        <v>76</v>
      </c>
      <c r="E4" t="s">
        <v>79</v>
      </c>
    </row>
    <row r="5" spans="1:5" x14ac:dyDescent="0.25">
      <c r="A5" t="s">
        <v>84</v>
      </c>
      <c r="C5" t="s">
        <v>73</v>
      </c>
      <c r="D5" t="s">
        <v>78</v>
      </c>
    </row>
    <row r="6" spans="1:5" x14ac:dyDescent="0.25">
      <c r="A6" t="s">
        <v>77</v>
      </c>
    </row>
    <row r="7" spans="1:5" x14ac:dyDescent="0.25">
      <c r="A7" t="s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F16"/>
  <sheetViews>
    <sheetView workbookViewId="0">
      <selection activeCell="A17" sqref="A17"/>
    </sheetView>
  </sheetViews>
  <sheetFormatPr defaultRowHeight="16.5" x14ac:dyDescent="0.25"/>
  <cols>
    <col min="1" max="1" width="6.42578125" style="3" bestFit="1" customWidth="1"/>
    <col min="2" max="2" width="15.140625" bestFit="1" customWidth="1"/>
  </cols>
  <sheetData>
    <row r="1" spans="1:6" x14ac:dyDescent="0.25">
      <c r="A1" s="3" t="s">
        <v>7</v>
      </c>
      <c r="B1" t="s">
        <v>8</v>
      </c>
      <c r="C1" t="s">
        <v>25</v>
      </c>
      <c r="D1" t="s">
        <v>28</v>
      </c>
      <c r="E1" t="s">
        <v>29</v>
      </c>
      <c r="F1" t="s">
        <v>32</v>
      </c>
    </row>
    <row r="2" spans="1:6" x14ac:dyDescent="0.25">
      <c r="A2" s="3">
        <v>0</v>
      </c>
      <c r="B2" t="s">
        <v>16</v>
      </c>
      <c r="C2" t="s">
        <v>26</v>
      </c>
      <c r="D2" t="s">
        <v>26</v>
      </c>
      <c r="E2" t="s">
        <v>27</v>
      </c>
      <c r="F2" t="s">
        <v>26</v>
      </c>
    </row>
    <row r="3" spans="1:6" x14ac:dyDescent="0.25">
      <c r="A3" s="3" t="s">
        <v>0</v>
      </c>
      <c r="B3" t="s">
        <v>9</v>
      </c>
      <c r="C3" t="s">
        <v>27</v>
      </c>
      <c r="D3" t="s">
        <v>27</v>
      </c>
      <c r="E3" t="s">
        <v>26</v>
      </c>
      <c r="F3" t="s">
        <v>26</v>
      </c>
    </row>
    <row r="4" spans="1:6" x14ac:dyDescent="0.25">
      <c r="A4" s="3" t="s">
        <v>4</v>
      </c>
      <c r="B4" t="s">
        <v>10</v>
      </c>
      <c r="C4" t="s">
        <v>27</v>
      </c>
      <c r="D4" t="s">
        <v>27</v>
      </c>
      <c r="E4" t="s">
        <v>26</v>
      </c>
      <c r="F4" t="s">
        <v>26</v>
      </c>
    </row>
    <row r="5" spans="1:6" x14ac:dyDescent="0.25">
      <c r="A5" s="3" t="s">
        <v>1</v>
      </c>
      <c r="B5" t="s">
        <v>11</v>
      </c>
      <c r="C5" t="s">
        <v>26</v>
      </c>
      <c r="D5" t="s">
        <v>27</v>
      </c>
      <c r="E5" t="s">
        <v>26</v>
      </c>
      <c r="F5" t="s">
        <v>26</v>
      </c>
    </row>
    <row r="6" spans="1:6" x14ac:dyDescent="0.25">
      <c r="A6" s="3" t="s">
        <v>2</v>
      </c>
      <c r="B6" t="s">
        <v>12</v>
      </c>
      <c r="C6" t="s">
        <v>26</v>
      </c>
      <c r="D6" t="s">
        <v>27</v>
      </c>
      <c r="E6" t="s">
        <v>27</v>
      </c>
      <c r="F6" t="s">
        <v>26</v>
      </c>
    </row>
    <row r="7" spans="1:6" x14ac:dyDescent="0.25">
      <c r="A7" s="3" t="s">
        <v>3</v>
      </c>
      <c r="B7" t="s">
        <v>13</v>
      </c>
      <c r="C7" t="s">
        <v>26</v>
      </c>
      <c r="D7" t="s">
        <v>27</v>
      </c>
      <c r="E7" t="s">
        <v>27</v>
      </c>
      <c r="F7" t="s">
        <v>26</v>
      </c>
    </row>
    <row r="8" spans="1:6" x14ac:dyDescent="0.25">
      <c r="A8" s="3" t="s">
        <v>6</v>
      </c>
      <c r="B8" t="s">
        <v>14</v>
      </c>
      <c r="C8" t="s">
        <v>26</v>
      </c>
      <c r="D8" t="s">
        <v>26</v>
      </c>
      <c r="E8" t="s">
        <v>27</v>
      </c>
      <c r="F8" t="s">
        <v>27</v>
      </c>
    </row>
    <row r="9" spans="1:6" x14ac:dyDescent="0.25">
      <c r="A9" s="3" t="s">
        <v>5</v>
      </c>
      <c r="B9" t="s">
        <v>15</v>
      </c>
      <c r="C9" t="s">
        <v>27</v>
      </c>
      <c r="D9" t="s">
        <v>27</v>
      </c>
      <c r="E9" t="s">
        <v>27</v>
      </c>
      <c r="F9" t="s">
        <v>26</v>
      </c>
    </row>
    <row r="10" spans="1:6" x14ac:dyDescent="0.25">
      <c r="A10" s="3" t="s">
        <v>21</v>
      </c>
      <c r="B10" t="s">
        <v>22</v>
      </c>
      <c r="C10" t="s">
        <v>26</v>
      </c>
      <c r="D10" t="s">
        <v>27</v>
      </c>
      <c r="E10" t="s">
        <v>26</v>
      </c>
      <c r="F10" t="s">
        <v>26</v>
      </c>
    </row>
    <row r="11" spans="1:6" x14ac:dyDescent="0.25">
      <c r="A11" s="3" t="s">
        <v>23</v>
      </c>
      <c r="B11" t="s">
        <v>24</v>
      </c>
      <c r="C11" t="s">
        <v>27</v>
      </c>
      <c r="D11" t="s">
        <v>27</v>
      </c>
      <c r="E11" t="s">
        <v>26</v>
      </c>
      <c r="F11" t="s">
        <v>26</v>
      </c>
    </row>
    <row r="13" spans="1:6" x14ac:dyDescent="0.25">
      <c r="A13" s="3" t="s">
        <v>61</v>
      </c>
      <c r="B13" t="s">
        <v>62</v>
      </c>
      <c r="C13" t="s">
        <v>26</v>
      </c>
      <c r="D13" t="s">
        <v>26</v>
      </c>
      <c r="E13" t="s">
        <v>27</v>
      </c>
      <c r="F13" t="s">
        <v>27</v>
      </c>
    </row>
    <row r="14" spans="1:6" x14ac:dyDescent="0.25">
      <c r="A14" s="3" t="s">
        <v>64</v>
      </c>
      <c r="B14" t="s">
        <v>63</v>
      </c>
      <c r="C14" t="s">
        <v>26</v>
      </c>
      <c r="D14" t="s">
        <v>26</v>
      </c>
      <c r="E14" t="s">
        <v>27</v>
      </c>
      <c r="F14" t="s">
        <v>27</v>
      </c>
    </row>
    <row r="15" spans="1:6" x14ac:dyDescent="0.25">
      <c r="A15" s="3" t="s">
        <v>65</v>
      </c>
      <c r="B15" t="s">
        <v>66</v>
      </c>
      <c r="C15" t="s">
        <v>26</v>
      </c>
      <c r="D15" t="s">
        <v>26</v>
      </c>
      <c r="E15" t="s">
        <v>27</v>
      </c>
      <c r="F15" t="s">
        <v>27</v>
      </c>
    </row>
    <row r="16" spans="1:6" x14ac:dyDescent="0.25">
      <c r="A16" s="3" t="s">
        <v>48</v>
      </c>
      <c r="B16" t="s">
        <v>67</v>
      </c>
      <c r="C16" t="s">
        <v>26</v>
      </c>
      <c r="D16" t="s">
        <v>26</v>
      </c>
      <c r="E16" t="s">
        <v>27</v>
      </c>
      <c r="F16" t="s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P64"/>
  <sheetViews>
    <sheetView tabSelected="1" zoomScaleNormal="100" workbookViewId="0">
      <selection activeCell="AM9" sqref="AM9"/>
    </sheetView>
  </sheetViews>
  <sheetFormatPr defaultRowHeight="15" x14ac:dyDescent="0.25"/>
  <cols>
    <col min="1" max="64" width="2.5703125" style="2" bestFit="1" customWidth="1"/>
    <col min="66" max="66" width="76.42578125" style="1" bestFit="1" customWidth="1"/>
    <col min="67" max="67" width="83.5703125" bestFit="1" customWidth="1"/>
    <col min="68" max="68" width="172.28515625" bestFit="1" customWidth="1"/>
  </cols>
  <sheetData>
    <row r="1" spans="1:68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>
        <v>1</v>
      </c>
      <c r="BN1" s="1" t="str">
        <f>_xlfn.TEXTJOIN("",TRUE,A1:BL1)</f>
        <v>XXXXXXXXXXXXXXXXXXXXXXXXXXXXXXXXXXXXXXXXXXXXXXXXXXXXXXXXXXXXXXXX</v>
      </c>
      <c r="BO1" t="str">
        <f>"m$("&amp;BM1&amp;")="&amp;""""&amp;BN1&amp;""""</f>
        <v>m$(1)="XXXXXXXXXXXXXXXXXXXXXXXXXXXXXXXXXXXXXXXXXXXXXXXXXXXXXXXXXXXXXXXX"</v>
      </c>
      <c r="BP1" t="str">
        <f>"{"&amp;""""&amp;BN1&amp;""""&amp;"},"</f>
        <v>{"XXXXXXXXXXXXXXXXXXXXXXXXXXXXXXXXXXXXXXXXXXXXXXXXXXXXXXXXXXXXXXXX"},</v>
      </c>
    </row>
    <row r="2" spans="1:68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>
        <v>0</v>
      </c>
      <c r="AC2" s="2">
        <v>0</v>
      </c>
      <c r="AD2" s="2">
        <v>0</v>
      </c>
      <c r="AE2" s="2">
        <v>0</v>
      </c>
      <c r="AF2" s="2" t="s">
        <v>3</v>
      </c>
      <c r="AG2" s="2">
        <v>0</v>
      </c>
      <c r="AH2" s="2" t="s">
        <v>6</v>
      </c>
      <c r="AI2" s="2">
        <v>0</v>
      </c>
      <c r="AJ2" s="2">
        <v>0</v>
      </c>
      <c r="AK2" s="2" t="s">
        <v>2</v>
      </c>
      <c r="AL2" s="2">
        <v>0</v>
      </c>
      <c r="AM2" s="2">
        <v>0</v>
      </c>
      <c r="AN2" s="2" t="s">
        <v>2</v>
      </c>
      <c r="AO2" s="2">
        <v>0</v>
      </c>
      <c r="AP2" s="2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>
        <v>2</v>
      </c>
      <c r="BN2" s="1" t="str">
        <f t="shared" ref="BN2:BN64" si="0">_xlfn.TEXTJOIN("",TRUE,A2:BL2)</f>
        <v>XXXXXXXXXXXXXXXXXXXXXXXXXXX0000D0H00A00A00XXXXXXXXXXXXXXXXXXXXXX</v>
      </c>
      <c r="BO2" t="str">
        <f t="shared" ref="BO2:BO64" si="1">"m$("&amp;BM2&amp;")="&amp;""""&amp;BN2&amp;""""</f>
        <v>m$(2)="XXXXXXXXXXXXXXXXXXXXXXXXXXX0000D0H00A00A00XXXXXXXXXXXXXXXXXXXXXX"</v>
      </c>
      <c r="BP2" t="str">
        <f t="shared" ref="BP2:BP64" si="2">"{"&amp;""""&amp;BN2&amp;""""&amp;"},"</f>
        <v>{"XXXXXXXXXXXXXXXXXXXXXXXXXXX0000D0H00A00A00XXXXXXXXXXXXXXXXXXXXXX"},</v>
      </c>
    </row>
    <row r="3" spans="1:68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2</v>
      </c>
      <c r="AC3" s="2" t="s">
        <v>0</v>
      </c>
      <c r="AD3" s="2" t="s">
        <v>21</v>
      </c>
      <c r="AE3" s="2" t="s">
        <v>0</v>
      </c>
      <c r="AF3" s="2" t="s">
        <v>0</v>
      </c>
      <c r="AG3" s="2" t="s">
        <v>0</v>
      </c>
      <c r="AH3" s="2" t="s">
        <v>5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>
        <v>3</v>
      </c>
      <c r="BN3" s="1" t="str">
        <f t="shared" si="0"/>
        <v>XXXXXXXXXXXXXXXXXXXXXXXXXXXAXBXXXSXXXXXXXXXXXXXXXXXXXXXXXXXXXXXX</v>
      </c>
      <c r="BO3" t="str">
        <f t="shared" si="1"/>
        <v>m$(3)="XXXXXXXXXXXXXXXXXXXXXXXXXXXAXBXXXSXXXXXXXXXXXXXXXXXXXXXXXXXXXXXX"</v>
      </c>
      <c r="BP3" t="str">
        <f t="shared" si="2"/>
        <v>{"XXXXXXXXXXXXXXXXXXXXXXXXXXXAXBXXXSXXXXXXXXXXXXXXXXXXXXXXXXXXXXXX"},</v>
      </c>
    </row>
    <row r="4" spans="1:68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 t="s">
        <v>0</v>
      </c>
      <c r="AF4" s="2" t="s">
        <v>0</v>
      </c>
      <c r="AG4" s="2" t="s">
        <v>0</v>
      </c>
      <c r="AH4" s="2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>
        <v>4</v>
      </c>
      <c r="BN4" s="1" t="str">
        <f t="shared" si="0"/>
        <v>XXXXXXXXXXXXXXXXXXXXXXXXX00000XXX0XXXXXXXXXXXXXXXXXXXXXXXXXXXXXX</v>
      </c>
      <c r="BO4" t="str">
        <f t="shared" si="1"/>
        <v>m$(4)="XXXXXXXXXXXXXXXXXXXXXXXXX00000XXX0XXXXXXXXXXXXXXXXXXXXXXXXXXXXXX"</v>
      </c>
      <c r="BP4" t="str">
        <f t="shared" si="2"/>
        <v>{"XXXXXXXXXXXXXXXXXXXXXXXXX00000XXX0XXXXXXXXXXXXXXXXXXXXXXXXXXXXXX"},</v>
      </c>
    </row>
    <row r="5" spans="1:68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>
        <v>0</v>
      </c>
      <c r="AA5" s="2" t="s">
        <v>6</v>
      </c>
      <c r="AB5" s="2">
        <v>0</v>
      </c>
      <c r="AC5" s="2" t="s">
        <v>6</v>
      </c>
      <c r="AD5" s="2">
        <v>0</v>
      </c>
      <c r="AE5" s="2" t="s">
        <v>0</v>
      </c>
      <c r="AF5" s="2" t="s">
        <v>0</v>
      </c>
      <c r="AG5" s="2" t="s">
        <v>0</v>
      </c>
      <c r="AH5" s="2" t="s">
        <v>5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>
        <v>5</v>
      </c>
      <c r="BN5" s="1" t="str">
        <f t="shared" si="0"/>
        <v>XXXXXXXXXXXXXXXXXXXXXXXXX0H0H0XXXSXXXXXXXXXXXXXXXXXXXXXXXXXXXXXX</v>
      </c>
      <c r="BO5" t="str">
        <f t="shared" si="1"/>
        <v>m$(5)="XXXXXXXXXXXXXXXXXXXXXXXXX0H0H0XXXSXXXXXXXXXXXXXXXXXXXXXXXXXXXXXX"</v>
      </c>
      <c r="BP5" t="str">
        <f t="shared" si="2"/>
        <v>{"XXXXXXXXXXXXXXXXXXXXXXXXX0H0H0XXXSXXXXXXXXXXXXXXXXXXXXXXXXXXXXXX"},</v>
      </c>
    </row>
    <row r="6" spans="1:68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 t="s">
        <v>3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 t="s">
        <v>3</v>
      </c>
      <c r="AF6" s="2">
        <v>0</v>
      </c>
      <c r="AG6" s="2" t="s">
        <v>2</v>
      </c>
      <c r="AH6" s="2">
        <v>0</v>
      </c>
      <c r="AI6" s="2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>
        <v>6</v>
      </c>
      <c r="BN6" s="1" t="str">
        <f t="shared" si="0"/>
        <v>XXXXXXXXXXXXXXXXXXX00000D00000D0A00XXXXXXXXXXXXXXXXXXXXXXXXXXXXX</v>
      </c>
      <c r="BO6" t="str">
        <f t="shared" si="1"/>
        <v>m$(6)="XXXXXXXXXXXXXXXXXXX00000D00000D0A00XXXXXXXXXXXXXXXXXXXXXXXXXXXXX"</v>
      </c>
      <c r="BP6" t="str">
        <f t="shared" si="2"/>
        <v>{"XXXXXXXXXXXXXXXXXXX00000D00000D0A00XXXXXXXXXXXXXXXXXXXXXXXXXXXXX"},</v>
      </c>
    </row>
    <row r="7" spans="1:68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>
        <v>0</v>
      </c>
      <c r="X7" s="2" t="s">
        <v>0</v>
      </c>
      <c r="Y7" s="2" t="s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>
        <v>7</v>
      </c>
      <c r="BN7" s="1" t="str">
        <f t="shared" si="0"/>
        <v>XXXXXXXXXXXXXXXXXXXXXX0XX00000XXXX0XXXXXXXXXXXXXXXXXXXXXXXXXXXXX</v>
      </c>
      <c r="BO7" t="str">
        <f t="shared" si="1"/>
        <v>m$(7)="XXXXXXXXXXXXXXXXXXXXXX0XX00000XXXX0XXXXXXXXXXXXXXXXXXXXXXXXXXXXX"</v>
      </c>
      <c r="BP7" t="str">
        <f t="shared" si="2"/>
        <v>{"XXXXXXXXXXXXXXXXXXXXXX0XX00000XXXX0XXXXXXXXXXXXXXXXXXXXXXXXXXXXX"},</v>
      </c>
    </row>
    <row r="8" spans="1:68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>
        <v>0</v>
      </c>
      <c r="X8" s="2" t="s">
        <v>0</v>
      </c>
      <c r="Y8" s="2" t="s">
        <v>0</v>
      </c>
      <c r="Z8" s="2" t="s">
        <v>0</v>
      </c>
      <c r="AA8" s="2" t="s">
        <v>0</v>
      </c>
      <c r="AB8" s="2">
        <v>0</v>
      </c>
      <c r="AC8" s="2" t="s">
        <v>0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2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>
        <v>8</v>
      </c>
      <c r="BN8" s="1" t="str">
        <f t="shared" si="0"/>
        <v>XXXXXXXXXXXXXXXXXXXXXX0XXXX0XXXXXXAXXXXXXXXXXXXXXXXXXXXXXXXXXXXX</v>
      </c>
      <c r="BO8" t="str">
        <f t="shared" si="1"/>
        <v>m$(8)="XXXXXXXXXXXXXXXXXXXXXX0XXXX0XXXXXXAXXXXXXXXXXXXXXXXXXXXXXXXXXXXX"</v>
      </c>
      <c r="BP8" t="str">
        <f t="shared" si="2"/>
        <v>{"XXXXXXXXXXXXXXXXXXXXXX0XXXX0XXXXXXAXXXXXXXXXXXXXXXXXXXXXXXXXXXXX"},</v>
      </c>
    </row>
    <row r="9" spans="1:68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>
        <v>0</v>
      </c>
      <c r="X9" s="2" t="s">
        <v>0</v>
      </c>
      <c r="Y9" s="2" t="s">
        <v>0</v>
      </c>
      <c r="Z9" s="2" t="s">
        <v>0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>
        <v>9</v>
      </c>
      <c r="BN9" s="1" t="str">
        <f t="shared" si="0"/>
        <v>XXXXXXXXXXXXXXXXXXXXXX0XXXXDXXXXXX0XXXXXXXXXXXXXXXXXXXXXXXXXXXXX</v>
      </c>
      <c r="BO9" t="str">
        <f t="shared" si="1"/>
        <v>m$(9)="XXXXXXXXXXXXXXXXXXXXXX0XXXXDXXXXXX0XXXXXXXXXXXXXXXXXXXXXXXXXXXXX"</v>
      </c>
      <c r="BP9" t="str">
        <f t="shared" si="2"/>
        <v>{"XXXXXXXXXXXXXXXXXXXXXX0XXXXDXXXXXX0XXXXXXXXXXXXXXXXXXXXXXXXXXXXX"},</v>
      </c>
    </row>
    <row r="10" spans="1:68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 t="s">
        <v>0</v>
      </c>
      <c r="W10" s="2" t="s">
        <v>2</v>
      </c>
      <c r="X10" s="2" t="s">
        <v>0</v>
      </c>
      <c r="Y10" s="2" t="s">
        <v>0</v>
      </c>
      <c r="Z10" s="2" t="s">
        <v>0</v>
      </c>
      <c r="AA10" s="2" t="s">
        <v>0</v>
      </c>
      <c r="AB10" s="2">
        <v>0</v>
      </c>
      <c r="AC10" s="2" t="s">
        <v>0</v>
      </c>
      <c r="AD10" s="2" t="s">
        <v>0</v>
      </c>
      <c r="AE10" s="2" t="s">
        <v>0</v>
      </c>
      <c r="AF10" s="2" t="s">
        <v>0</v>
      </c>
      <c r="AG10" s="2" t="s">
        <v>0</v>
      </c>
      <c r="AH10" s="2" t="s">
        <v>0</v>
      </c>
      <c r="AI10" s="2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>
        <v>10</v>
      </c>
      <c r="BN10" s="1" t="str">
        <f t="shared" si="0"/>
        <v>XXXXXXXXXXXXXXXXXXXXXXAXXXX0XXXXXX0XXXXXXXXXXXXXXXXXXXXXXXXXXXXX</v>
      </c>
      <c r="BO10" t="str">
        <f t="shared" si="1"/>
        <v>m$(10)="XXXXXXXXXXXXXXXXXXXXXXAXXXX0XXXXXX0XXXXXXXXXXXXXXXXXXXXXXXXXXXXX"</v>
      </c>
      <c r="BP10" t="str">
        <f t="shared" si="2"/>
        <v>{"XXXXXXXXXXXXXXXXXXXXXXAXXXX0XXXXXX0XXXXXXXXXXXXXXXXXXXXXXXXXXXXX"},</v>
      </c>
    </row>
    <row r="11" spans="1:68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0</v>
      </c>
      <c r="V11" s="2" t="s">
        <v>0</v>
      </c>
      <c r="W11" s="2">
        <v>0</v>
      </c>
      <c r="X11" s="2">
        <v>0</v>
      </c>
      <c r="Y11" s="2">
        <v>0</v>
      </c>
      <c r="Z11" s="2" t="s">
        <v>0</v>
      </c>
      <c r="AA11" s="2">
        <v>0</v>
      </c>
      <c r="AB11" s="2">
        <v>0</v>
      </c>
      <c r="AC11" s="2">
        <v>0</v>
      </c>
      <c r="AD11" s="2" t="s">
        <v>0</v>
      </c>
      <c r="AE11" s="2" t="s">
        <v>0</v>
      </c>
      <c r="AF11" s="2" t="s">
        <v>0</v>
      </c>
      <c r="AG11" s="2" t="s">
        <v>0</v>
      </c>
      <c r="AH11" s="2" t="s">
        <v>0</v>
      </c>
      <c r="AI11" s="2" t="s">
        <v>2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>
        <v>11</v>
      </c>
      <c r="BN11" s="1" t="str">
        <f t="shared" si="0"/>
        <v>XXXXXXXXXXXXXXXXXXXXXX000X000XXXXXAXXXXXXXXXXXXXXXXXXXXXXXXXXXXX</v>
      </c>
      <c r="BO11" t="str">
        <f t="shared" si="1"/>
        <v>m$(11)="XXXXXXXXXXXXXXXXXXXXXX000X000XXXXXAXXXXXXXXXXXXXXXXXXXXXXXXXXXXX"</v>
      </c>
      <c r="BP11" t="str">
        <f t="shared" si="2"/>
        <v>{"XXXXXXXXXXXXXXXXXXXXXX000X000XXXXXAXXXXXXXXXXXXXXXXXXXXXXXXXXXXX"},</v>
      </c>
    </row>
    <row r="12" spans="1:68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 t="s">
        <v>0</v>
      </c>
      <c r="W12" s="2">
        <v>0</v>
      </c>
      <c r="X12" s="2">
        <v>0</v>
      </c>
      <c r="Y12" s="2">
        <v>0</v>
      </c>
      <c r="Z12" s="2" t="s">
        <v>1</v>
      </c>
      <c r="AA12" s="2">
        <v>0</v>
      </c>
      <c r="AB12" s="2" t="s">
        <v>4</v>
      </c>
      <c r="AC12" s="2">
        <v>0</v>
      </c>
      <c r="AD12" s="2" t="s">
        <v>0</v>
      </c>
      <c r="AE12" s="2" t="s">
        <v>0</v>
      </c>
      <c r="AF12" s="2" t="s">
        <v>0</v>
      </c>
      <c r="AG12" s="2" t="s">
        <v>0</v>
      </c>
      <c r="AH12" s="2" t="s">
        <v>0</v>
      </c>
      <c r="AI12" s="2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>
        <v>12</v>
      </c>
      <c r="BN12" s="1" t="str">
        <f t="shared" si="0"/>
        <v>XXXXXXXXXXXXXXXXXXXXXX000W0P0XXXXX0XXXXXXXXXXXXXXXXXXXXXXXXXXXXX</v>
      </c>
      <c r="BO12" t="str">
        <f t="shared" si="1"/>
        <v>m$(12)="XXXXXXXXXXXXXXXXXXXXXX000W0P0XXXXX0XXXXXXXXXXXXXXXXXXXXXXXXXXXXX"</v>
      </c>
      <c r="BP12" t="str">
        <f t="shared" si="2"/>
        <v>{"XXXXXXXXXXXXXXXXXXXXXX000W0P0XXXXX0XXXXXXXXXXXXXXXXXXXXXXXXXXXXX"},</v>
      </c>
    </row>
    <row r="13" spans="1:68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0</v>
      </c>
      <c r="V13" s="2" t="s">
        <v>0</v>
      </c>
      <c r="W13" s="2">
        <v>0</v>
      </c>
      <c r="X13" s="2">
        <v>0</v>
      </c>
      <c r="Y13" s="2">
        <v>0</v>
      </c>
      <c r="Z13" s="2" t="s">
        <v>0</v>
      </c>
      <c r="AA13" s="2">
        <v>0</v>
      </c>
      <c r="AB13" s="2">
        <v>0</v>
      </c>
      <c r="AC13" s="2">
        <v>0</v>
      </c>
      <c r="AD13" s="2" t="s">
        <v>0</v>
      </c>
      <c r="AE13" s="2" t="s">
        <v>0</v>
      </c>
      <c r="AF13" s="2" t="s">
        <v>0</v>
      </c>
      <c r="AG13" s="2" t="s">
        <v>0</v>
      </c>
      <c r="AH13" s="2" t="s">
        <v>0</v>
      </c>
      <c r="AI13" s="2">
        <v>0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>
        <v>13</v>
      </c>
      <c r="BN13" s="1" t="str">
        <f t="shared" si="0"/>
        <v>XXXXXXXXXXXXXXXXXXXXXX000X000XXXXX0XXXXXXXXXXXXXXXXXXXXXXXXXXXXX</v>
      </c>
      <c r="BO13" t="str">
        <f t="shared" si="1"/>
        <v>m$(13)="XXXXXXXXXXXXXXXXXXXXXX000X000XXXXX0XXXXXXXXXXXXXXXXXXXXXXXXXXXXX"</v>
      </c>
      <c r="BP13" t="str">
        <f t="shared" si="2"/>
        <v>{"XXXXXXXXXXXXXXXXXXXXXX000X000XXXXX0XXXXXXXXXXXXXXXXXXXXXXXXXXXXX"},</v>
      </c>
    </row>
    <row r="14" spans="1:68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 t="s">
        <v>0</v>
      </c>
      <c r="W14" s="2" t="s">
        <v>0</v>
      </c>
      <c r="X14" s="2" t="s">
        <v>0</v>
      </c>
      <c r="Y14" s="2" t="s">
        <v>0</v>
      </c>
      <c r="Z14" s="2" t="s">
        <v>0</v>
      </c>
      <c r="AA14" s="2" t="s">
        <v>0</v>
      </c>
      <c r="AB14" s="2" t="s">
        <v>0</v>
      </c>
      <c r="AC14" s="2" t="s">
        <v>0</v>
      </c>
      <c r="AD14" s="2" t="s">
        <v>0</v>
      </c>
      <c r="AE14" s="2" t="s">
        <v>0</v>
      </c>
      <c r="AF14" s="2" t="s">
        <v>0</v>
      </c>
      <c r="AG14" s="2" t="s">
        <v>0</v>
      </c>
      <c r="AH14" s="2" t="s">
        <v>0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>
        <v>14</v>
      </c>
      <c r="BN14" s="1" t="str">
        <f t="shared" si="0"/>
        <v>XXXXXXXXXXXXXXXXXXXXXXXXXXXXXXXXXXXXXXXXXXXXXXXXXXXXXXXXXXXXXXXX</v>
      </c>
      <c r="BO14" t="str">
        <f t="shared" si="1"/>
        <v>m$(14)="XXXXXXXXXXXXXXXXXXXXXXXXXXXXXXXXXXXXXXXXXXXXXXXXXXXXXXXXXXXXXXXX"</v>
      </c>
      <c r="BP14" t="str">
        <f t="shared" si="2"/>
        <v>{"XXXXXXXXXXXXXXXXXXXXXXXXXXXXXXXXXXXXXXXXXXXXXXXXXXXXXXXXXXXXXXXX"},</v>
      </c>
    </row>
    <row r="15" spans="1:68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0</v>
      </c>
      <c r="AC15" s="2" t="s">
        <v>0</v>
      </c>
      <c r="AD15" s="2" t="s">
        <v>0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>
        <v>15</v>
      </c>
      <c r="BN15" s="1" t="str">
        <f t="shared" si="0"/>
        <v>XXXXXXXXXXXXXXXXXXXXXXXXXXXXXXXXXXXXXXXXXXXXXXXXXXXXXXXXXXXXXXXX</v>
      </c>
      <c r="BO15" t="str">
        <f t="shared" si="1"/>
        <v>m$(15)="XXXXXXXXXXXXXXXXXXXXXXXXXXXXXXXXXXXXXXXXXXXXXXXXXXXXXXXXXXXXXXXX"</v>
      </c>
      <c r="BP15" t="str">
        <f t="shared" si="2"/>
        <v>{"XXXXXXXXXXXXXXXXXXXXXXXXXXXXXXXXXXXXXXXXXXXXXXXXXXXXXXXXXXXXXXXX"},</v>
      </c>
    </row>
    <row r="16" spans="1:68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0</v>
      </c>
      <c r="V16" s="2" t="s">
        <v>0</v>
      </c>
      <c r="W16" s="2" t="s">
        <v>0</v>
      </c>
      <c r="X16" s="2" t="s">
        <v>0</v>
      </c>
      <c r="Y16" s="2" t="s">
        <v>0</v>
      </c>
      <c r="Z16" s="2" t="s">
        <v>0</v>
      </c>
      <c r="AA16" s="2" t="s">
        <v>0</v>
      </c>
      <c r="AB16" s="2" t="s">
        <v>0</v>
      </c>
      <c r="AC16" s="2" t="s">
        <v>0</v>
      </c>
      <c r="AD16" s="2" t="s">
        <v>0</v>
      </c>
      <c r="AE16" s="2" t="s">
        <v>0</v>
      </c>
      <c r="AF16" s="2" t="s">
        <v>0</v>
      </c>
      <c r="AG16" s="2" t="s">
        <v>0</v>
      </c>
      <c r="AH16" s="2" t="s">
        <v>0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>
        <v>16</v>
      </c>
      <c r="BN16" s="1" t="str">
        <f t="shared" si="0"/>
        <v>XXXXXXXXXXXXXXXXXXXXXXXXXXXXXXXXXXXXXXXXXXXXXXXXXXXXXXXXXXXXXXXX</v>
      </c>
      <c r="BO16" t="str">
        <f t="shared" si="1"/>
        <v>m$(16)="XXXXXXXXXXXXXXXXXXXXXXXXXXXXXXXXXXXXXXXXXXXXXXXXXXXXXXXXXXXXXXXX"</v>
      </c>
      <c r="BP16" t="str">
        <f t="shared" si="2"/>
        <v>{"XXXXXXXXXXXXXXXXXXXXXXXXXXXXXXXXXXXXXXXXXXXXXXXXXXXXXXXXXXXXXXXX"},</v>
      </c>
    </row>
    <row r="17" spans="1:68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 t="s">
        <v>0</v>
      </c>
      <c r="W17" s="2" t="s">
        <v>0</v>
      </c>
      <c r="X17" s="2" t="s">
        <v>0</v>
      </c>
      <c r="Y17" s="2" t="s">
        <v>0</v>
      </c>
      <c r="Z17" s="2" t="s">
        <v>0</v>
      </c>
      <c r="AA17" s="2" t="s">
        <v>0</v>
      </c>
      <c r="AB17" s="2" t="s">
        <v>0</v>
      </c>
      <c r="AC17" s="2" t="s">
        <v>0</v>
      </c>
      <c r="AD17" s="2" t="s">
        <v>0</v>
      </c>
      <c r="AE17" s="2" t="s">
        <v>0</v>
      </c>
      <c r="AF17" s="2" t="s">
        <v>0</v>
      </c>
      <c r="AG17" s="2" t="s">
        <v>0</v>
      </c>
      <c r="AH17" s="2" t="s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>
        <v>17</v>
      </c>
      <c r="BN17" s="1" t="str">
        <f t="shared" si="0"/>
        <v>XXXXXXXXXXXXXXXXXXXXXXXXXXXXXXXXXXXXXXXXXXXXXXXXXXXXXXXXXXXXXXXX</v>
      </c>
      <c r="BO17" t="str">
        <f t="shared" si="1"/>
        <v>m$(17)="XXXXXXXXXXXXXXXXXXXXXXXXXXXXXXXXXXXXXXXXXXXXXXXXXXXXXXXXXXXXXXXX"</v>
      </c>
      <c r="BP17" t="str">
        <f t="shared" si="2"/>
        <v>{"XXXXXXXXXXXXXXXXXXXXXXXXXXXXXXXXXXXXXXXXXXXXXXXXXXXXXXXXXXXXXXXX"},</v>
      </c>
    </row>
    <row r="18" spans="1:68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 t="s">
        <v>0</v>
      </c>
      <c r="W18" s="2" t="s">
        <v>0</v>
      </c>
      <c r="X18" s="2" t="s">
        <v>0</v>
      </c>
      <c r="Y18" s="2" t="s">
        <v>0</v>
      </c>
      <c r="Z18" s="2" t="s">
        <v>0</v>
      </c>
      <c r="AA18" s="2" t="s">
        <v>0</v>
      </c>
      <c r="AB18" s="2" t="s">
        <v>0</v>
      </c>
      <c r="AC18" s="2" t="s">
        <v>0</v>
      </c>
      <c r="AD18" s="2" t="s">
        <v>0</v>
      </c>
      <c r="AE18" s="2" t="s">
        <v>0</v>
      </c>
      <c r="AF18" s="2" t="s">
        <v>0</v>
      </c>
      <c r="AG18" s="2" t="s">
        <v>0</v>
      </c>
      <c r="AH18" s="2" t="s">
        <v>0</v>
      </c>
      <c r="AI18" s="2" t="s">
        <v>0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>
        <v>18</v>
      </c>
      <c r="BN18" s="1" t="str">
        <f t="shared" si="0"/>
        <v>XXXXXXXXXXXXXXXXXXXXXXXXXXXXXXXXXXXXXXXXXXXXXXXXXXXXXXXXXXXXXXXX</v>
      </c>
      <c r="BO18" t="str">
        <f t="shared" si="1"/>
        <v>m$(18)="XXXXXXXXXXXXXXXXXXXXXXXXXXXXXXXXXXXXXXXXXXXXXXXXXXXXXXXXXXXXXXXX"</v>
      </c>
      <c r="BP18" t="str">
        <f t="shared" si="2"/>
        <v>{"XXXXXXXXXXXXXXXXXXXXXXXXXXXXXXXXXXXXXXXXXXXXXXXXXXXXXXXXXXXXXXXX"},</v>
      </c>
    </row>
    <row r="19" spans="1:68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 t="s">
        <v>0</v>
      </c>
      <c r="W19" s="2" t="s">
        <v>0</v>
      </c>
      <c r="X19" s="2" t="s">
        <v>0</v>
      </c>
      <c r="Y19" s="2" t="s">
        <v>0</v>
      </c>
      <c r="Z19" s="2" t="s">
        <v>0</v>
      </c>
      <c r="AA19" s="2" t="s">
        <v>0</v>
      </c>
      <c r="AB19" s="2" t="s">
        <v>0</v>
      </c>
      <c r="AC19" s="2" t="s">
        <v>0</v>
      </c>
      <c r="AD19" s="2" t="s">
        <v>0</v>
      </c>
      <c r="AE19" s="2" t="s">
        <v>0</v>
      </c>
      <c r="AF19" s="2" t="s">
        <v>0</v>
      </c>
      <c r="AG19" s="2" t="s">
        <v>0</v>
      </c>
      <c r="AH19" s="2" t="s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>
        <v>19</v>
      </c>
      <c r="BN19" s="1" t="str">
        <f t="shared" si="0"/>
        <v>XXXXXXXXXXXXXXXXXXXXXXXXXXXXXXXXXXXXXXXXXXXXXXXXXXXXXXXXXXXXXXXX</v>
      </c>
      <c r="BO19" t="str">
        <f t="shared" si="1"/>
        <v>m$(19)="XXXXXXXXXXXXXXXXXXXXXXXXXXXXXXXXXXXXXXXXXXXXXXXXXXXXXXXXXXXXXXXX"</v>
      </c>
      <c r="BP19" t="str">
        <f t="shared" si="2"/>
        <v>{"XXXXXXXXXXXXXXXXXXXXXXXXXXXXXXXXXXXXXXXXXXXXXXXXXXXXXXXXXXXXXXXX"},</v>
      </c>
    </row>
    <row r="20" spans="1:68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0</v>
      </c>
      <c r="W20" s="2" t="s">
        <v>0</v>
      </c>
      <c r="X20" s="2" t="s">
        <v>0</v>
      </c>
      <c r="Y20" s="2" t="s">
        <v>0</v>
      </c>
      <c r="Z20" s="2" t="s">
        <v>0</v>
      </c>
      <c r="AA20" s="2" t="s">
        <v>0</v>
      </c>
      <c r="AB20" s="2" t="s">
        <v>0</v>
      </c>
      <c r="AC20" s="2" t="s">
        <v>0</v>
      </c>
      <c r="AD20" s="2" t="s">
        <v>0</v>
      </c>
      <c r="AE20" s="2" t="s">
        <v>0</v>
      </c>
      <c r="AF20" s="2" t="s">
        <v>0</v>
      </c>
      <c r="AG20" s="2" t="s">
        <v>0</v>
      </c>
      <c r="AH20" s="2" t="s">
        <v>0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>
        <v>20</v>
      </c>
      <c r="BN20" s="1" t="str">
        <f t="shared" si="0"/>
        <v>XXXXXXXXXXXXXXXXXXXXXXXXXXXXXXXXXXXXXXXXXXXXXXXXXXXXXXXXXXXXXXXX</v>
      </c>
      <c r="BO20" t="str">
        <f t="shared" si="1"/>
        <v>m$(20)="XXXXXXXXXXXXXXXXXXXXXXXXXXXXXXXXXXXXXXXXXXXXXXXXXXXXXXXXXXXXXXXX"</v>
      </c>
      <c r="BP20" t="str">
        <f t="shared" si="2"/>
        <v>{"XXXXXXXXXXXXXXXXXXXXXXXXXXXXXXXXXXXXXXXXXXXXXXXXXXXXXXXXXXXXXXXX"},</v>
      </c>
    </row>
    <row r="21" spans="1:68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0</v>
      </c>
      <c r="W21" s="2" t="s">
        <v>0</v>
      </c>
      <c r="X21" s="2" t="s">
        <v>0</v>
      </c>
      <c r="Y21" s="2" t="s">
        <v>0</v>
      </c>
      <c r="Z21" s="2" t="s">
        <v>0</v>
      </c>
      <c r="AA21" s="2" t="s">
        <v>0</v>
      </c>
      <c r="AB21" s="2" t="s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>
        <v>21</v>
      </c>
      <c r="BN21" s="1" t="str">
        <f t="shared" si="0"/>
        <v>XXXXXXXXXXXXXXXXXXXXXXXXXXXXXXXXXXXXXXXXXXXXXXXXXXXXXXXXXXXXXXXX</v>
      </c>
      <c r="BO21" t="str">
        <f t="shared" si="1"/>
        <v>m$(21)="XXXXXXXXXXXXXXXXXXXXXXXXXXXXXXXXXXXXXXXXXXXXXXXXXXXXXXXXXXXXXXXX"</v>
      </c>
      <c r="BP21" t="str">
        <f t="shared" si="2"/>
        <v>{"XXXXXXXXXXXXXXXXXXXXXXXXXXXXXXXXXXXXXXXXXXXXXXXXXXXXXXXXXXXXXXXX"},</v>
      </c>
    </row>
    <row r="22" spans="1:68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 t="s">
        <v>0</v>
      </c>
      <c r="AC22" s="2" t="s">
        <v>0</v>
      </c>
      <c r="AD22" s="2" t="s">
        <v>0</v>
      </c>
      <c r="AE22" s="2" t="s">
        <v>0</v>
      </c>
      <c r="AF22" s="2" t="s">
        <v>0</v>
      </c>
      <c r="AG22" s="2" t="s">
        <v>0</v>
      </c>
      <c r="AH22" s="2" t="s">
        <v>0</v>
      </c>
      <c r="AI22" s="2" t="s">
        <v>0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>
        <v>22</v>
      </c>
      <c r="BN22" s="1" t="str">
        <f t="shared" si="0"/>
        <v>XXXXXXXXXXXXXXXXXXXXXXXXXXXXXXXXXXXXXXXXXXXXXXXXXXXXXXXXXXXXXXXX</v>
      </c>
      <c r="BO22" t="str">
        <f t="shared" si="1"/>
        <v>m$(22)="XXXXXXXXXXXXXXXXXXXXXXXXXXXXXXXXXXXXXXXXXXXXXXXXXXXXXXXXXXXXXXXX"</v>
      </c>
      <c r="BP22" t="str">
        <f t="shared" si="2"/>
        <v>{"XXXXXXXXXXXXXXXXXXXXXXXXXXXXXXXXXXXXXXXXXXXXXXXXXXXXXXXXXXXXXXXX"},</v>
      </c>
    </row>
    <row r="23" spans="1:68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 t="s">
        <v>0</v>
      </c>
      <c r="M23" s="2" t="s">
        <v>0</v>
      </c>
      <c r="N23" s="2" t="s">
        <v>0</v>
      </c>
      <c r="O23" s="2" t="s">
        <v>0</v>
      </c>
      <c r="P23" s="2" t="s">
        <v>0</v>
      </c>
      <c r="Q23" s="2" t="s">
        <v>0</v>
      </c>
      <c r="R23" s="2" t="s">
        <v>0</v>
      </c>
      <c r="S23" s="2" t="s">
        <v>0</v>
      </c>
      <c r="T23" s="2" t="s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 t="s">
        <v>0</v>
      </c>
      <c r="Z23" s="2" t="s">
        <v>0</v>
      </c>
      <c r="AA23" s="2" t="s">
        <v>0</v>
      </c>
      <c r="AB23" s="2" t="s">
        <v>0</v>
      </c>
      <c r="AC23" s="2" t="s">
        <v>0</v>
      </c>
      <c r="AD23" s="2" t="s">
        <v>0</v>
      </c>
      <c r="AE23" s="2" t="s">
        <v>0</v>
      </c>
      <c r="AF23" s="2" t="s">
        <v>0</v>
      </c>
      <c r="AG23" s="2" t="s">
        <v>0</v>
      </c>
      <c r="AH23" s="2" t="s">
        <v>0</v>
      </c>
      <c r="AI23" s="2" t="s">
        <v>0</v>
      </c>
      <c r="AJ23" s="2" t="s">
        <v>0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>
        <v>23</v>
      </c>
      <c r="BN23" s="1" t="str">
        <f t="shared" si="0"/>
        <v>XXXXXXXXXXXXXXXXXXXXXXXXXXXXXXXXXXXXXXXXXXXXXXXXXXXXXXXXXXXXXXXX</v>
      </c>
      <c r="BO23" t="str">
        <f t="shared" si="1"/>
        <v>m$(23)="XXXXXXXXXXXXXXXXXXXXXXXXXXXXXXXXXXXXXXXXXXXXXXXXXXXXXXXXXXXXXXXX"</v>
      </c>
      <c r="BP23" t="str">
        <f t="shared" si="2"/>
        <v>{"XXXXXXXXXXXXXXXXXXXXXXXXXXXXXXXXXXXXXXXXXXXXXXXXXXXXXXXXXXXXXXXX"},</v>
      </c>
    </row>
    <row r="24" spans="1:68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 t="s">
        <v>0</v>
      </c>
      <c r="M24" s="2" t="s">
        <v>0</v>
      </c>
      <c r="N24" s="2" t="s">
        <v>0</v>
      </c>
      <c r="O24" s="2" t="s">
        <v>0</v>
      </c>
      <c r="P24" s="2" t="s">
        <v>0</v>
      </c>
      <c r="Q24" s="2" t="s">
        <v>0</v>
      </c>
      <c r="R24" s="2" t="s">
        <v>0</v>
      </c>
      <c r="S24" s="2" t="s">
        <v>0</v>
      </c>
      <c r="T24" s="2" t="s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0</v>
      </c>
      <c r="Z24" s="2" t="s">
        <v>0</v>
      </c>
      <c r="AA24" s="2" t="s">
        <v>0</v>
      </c>
      <c r="AB24" s="2" t="s">
        <v>0</v>
      </c>
      <c r="AC24" s="2" t="s">
        <v>0</v>
      </c>
      <c r="AD24" s="2" t="s">
        <v>0</v>
      </c>
      <c r="AE24" s="2" t="s">
        <v>0</v>
      </c>
      <c r="AF24" s="2" t="s">
        <v>0</v>
      </c>
      <c r="AG24" s="2" t="s">
        <v>0</v>
      </c>
      <c r="AH24" s="2" t="s">
        <v>0</v>
      </c>
      <c r="AI24" s="2" t="s">
        <v>0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>
        <v>24</v>
      </c>
      <c r="BN24" s="1" t="str">
        <f t="shared" si="0"/>
        <v>XXXXXXXXXXXXXXXXXXXXXXXXXXXXXXXXXXXXXXXXXXXXXXXXXXXXXXXXXXXXXXXX</v>
      </c>
      <c r="BO24" t="str">
        <f t="shared" si="1"/>
        <v>m$(24)="XXXXXXXXXXXXXXXXXXXXXXXXXXXXXXXXXXXXXXXXXXXXXXXXXXXXXXXXXXXXXXXX"</v>
      </c>
      <c r="BP24" t="str">
        <f t="shared" si="2"/>
        <v>{"XXXXXXXXXXXXXXXXXXXXXXXXXXXXXXXXXXXXXXXXXXXXXXXXXXXXXXXXXXXXXXXX"},</v>
      </c>
    </row>
    <row r="25" spans="1:68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 t="s">
        <v>0</v>
      </c>
      <c r="M25" s="2" t="s">
        <v>0</v>
      </c>
      <c r="N25" s="2" t="s">
        <v>0</v>
      </c>
      <c r="O25" s="2" t="s">
        <v>0</v>
      </c>
      <c r="P25" s="2" t="s">
        <v>0</v>
      </c>
      <c r="Q25" s="2" t="s">
        <v>0</v>
      </c>
      <c r="R25" s="2" t="s">
        <v>0</v>
      </c>
      <c r="S25" s="2" t="s">
        <v>0</v>
      </c>
      <c r="T25" s="2" t="s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 t="s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0</v>
      </c>
      <c r="AF25" s="2" t="s">
        <v>0</v>
      </c>
      <c r="AG25" s="2" t="s">
        <v>0</v>
      </c>
      <c r="AH25" s="2" t="s">
        <v>0</v>
      </c>
      <c r="AI25" s="2" t="s">
        <v>0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>
        <v>25</v>
      </c>
      <c r="BN25" s="1" t="str">
        <f t="shared" si="0"/>
        <v>XXXXXXXXXXXXXXXXXXXXXXXXXXXXXXXXXXXXXXXXXXXXXXXXXXXXXXXXXXXXXXXX</v>
      </c>
      <c r="BO25" t="str">
        <f t="shared" si="1"/>
        <v>m$(25)="XXXXXXXXXXXXXXXXXXXXXXXXXXXXXXXXXXXXXXXXXXXXXXXXXXXXXXXXXXXXXXXX"</v>
      </c>
      <c r="BP25" t="str">
        <f t="shared" si="2"/>
        <v>{"XXXXXXXXXXXXXXXXXXXXXXXXXXXXXXXXXXXXXXXXXXXXXXXXXXXXXXXXXXXXXXXX"},</v>
      </c>
    </row>
    <row r="26" spans="1:68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 t="s">
        <v>0</v>
      </c>
      <c r="M26" s="2" t="s">
        <v>0</v>
      </c>
      <c r="N26" s="2" t="s">
        <v>0</v>
      </c>
      <c r="O26" s="2" t="s">
        <v>0</v>
      </c>
      <c r="P26" s="2" t="s">
        <v>0</v>
      </c>
      <c r="Q26" s="2" t="s">
        <v>0</v>
      </c>
      <c r="R26" s="2" t="s">
        <v>0</v>
      </c>
      <c r="S26" s="2" t="s">
        <v>0</v>
      </c>
      <c r="T26" s="2" t="s">
        <v>0</v>
      </c>
      <c r="U26" s="2" t="s">
        <v>0</v>
      </c>
      <c r="V26" s="2" t="s">
        <v>0</v>
      </c>
      <c r="W26" s="2" t="s">
        <v>0</v>
      </c>
      <c r="X26" s="2" t="s">
        <v>0</v>
      </c>
      <c r="Y26" s="2" t="s">
        <v>0</v>
      </c>
      <c r="Z26" s="2" t="s">
        <v>0</v>
      </c>
      <c r="AA26" s="2" t="s">
        <v>0</v>
      </c>
      <c r="AB26" s="2" t="s">
        <v>0</v>
      </c>
      <c r="AC26" s="2" t="s">
        <v>0</v>
      </c>
      <c r="AD26" s="2" t="s">
        <v>0</v>
      </c>
      <c r="AE26" s="2" t="s">
        <v>0</v>
      </c>
      <c r="AF26" s="2" t="s">
        <v>0</v>
      </c>
      <c r="AG26" s="2" t="s">
        <v>0</v>
      </c>
      <c r="AH26" s="2" t="s">
        <v>0</v>
      </c>
      <c r="AI26" s="2" t="s">
        <v>0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>
        <v>26</v>
      </c>
      <c r="BN26" s="1" t="str">
        <f t="shared" si="0"/>
        <v>XXXXXXXXXXXXXXXXXXXXXXXXXXXXXXXXXXXXXXXXXXXXXXXXXXXXXXXXXXXXXXXX</v>
      </c>
      <c r="BO26" t="str">
        <f t="shared" si="1"/>
        <v>m$(26)="XXXXXXXXXXXXXXXXXXXXXXXXXXXXXXXXXXXXXXXXXXXXXXXXXXXXXXXXXXXXXXXX"</v>
      </c>
      <c r="BP26" t="str">
        <f t="shared" si="2"/>
        <v>{"XXXXXXXXXXXXXXXXXXXXXXXXXXXXXXXXXXXXXXXXXXXXXXXXXXXXXXXXXXXXXXXX"},</v>
      </c>
    </row>
    <row r="27" spans="1:68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0</v>
      </c>
      <c r="M27" s="2" t="s">
        <v>0</v>
      </c>
      <c r="N27" s="2" t="s">
        <v>0</v>
      </c>
      <c r="O27" s="2" t="s">
        <v>0</v>
      </c>
      <c r="P27" s="2" t="s">
        <v>0</v>
      </c>
      <c r="Q27" s="2" t="s">
        <v>0</v>
      </c>
      <c r="R27" s="2" t="s">
        <v>0</v>
      </c>
      <c r="S27" s="2" t="s">
        <v>0</v>
      </c>
      <c r="T27" s="2" t="s">
        <v>0</v>
      </c>
      <c r="U27" s="2" t="s">
        <v>0</v>
      </c>
      <c r="V27" s="2" t="s">
        <v>0</v>
      </c>
      <c r="W27" s="2" t="s">
        <v>0</v>
      </c>
      <c r="X27" s="2" t="s">
        <v>0</v>
      </c>
      <c r="Y27" s="2" t="s">
        <v>0</v>
      </c>
      <c r="Z27" s="2" t="s">
        <v>0</v>
      </c>
      <c r="AA27" s="2" t="s">
        <v>0</v>
      </c>
      <c r="AB27" s="2" t="s">
        <v>0</v>
      </c>
      <c r="AC27" s="2" t="s">
        <v>0</v>
      </c>
      <c r="AD27" s="2" t="s">
        <v>0</v>
      </c>
      <c r="AE27" s="2" t="s">
        <v>0</v>
      </c>
      <c r="AF27" s="2" t="s">
        <v>0</v>
      </c>
      <c r="AG27" s="2" t="s">
        <v>0</v>
      </c>
      <c r="AH27" s="2" t="s">
        <v>0</v>
      </c>
      <c r="AI27" s="2" t="s">
        <v>0</v>
      </c>
      <c r="AJ27" s="2" t="s">
        <v>0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>
        <v>27</v>
      </c>
      <c r="BN27" s="1" t="str">
        <f t="shared" si="0"/>
        <v>XXXXXXXXXXXXXXXXXXXXXXXXXXXXXXXXXXXXXXXXXXXXXXXXXXXXXXXXXXXXXXXX</v>
      </c>
      <c r="BO27" t="str">
        <f t="shared" si="1"/>
        <v>m$(27)="XXXXXXXXXXXXXXXXXXXXXXXXXXXXXXXXXXXXXXXXXXXXXXXXXXXXXXXXXXXXXXXX"</v>
      </c>
      <c r="BP27" t="str">
        <f t="shared" si="2"/>
        <v>{"XXXXXXXXXXXXXXXXXXXXXXXXXXXXXXXXXXXXXXXXXXXXXXXXXXXXXXXXXXXXXXXX"},</v>
      </c>
    </row>
    <row r="28" spans="1:68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 t="s">
        <v>0</v>
      </c>
      <c r="M28" s="2" t="s">
        <v>0</v>
      </c>
      <c r="N28" s="2" t="s">
        <v>0</v>
      </c>
      <c r="O28" s="2" t="s">
        <v>0</v>
      </c>
      <c r="P28" s="2" t="s">
        <v>0</v>
      </c>
      <c r="Q28" s="2" t="s">
        <v>0</v>
      </c>
      <c r="R28" s="2" t="s">
        <v>0</v>
      </c>
      <c r="S28" s="2" t="s">
        <v>0</v>
      </c>
      <c r="T28" s="2" t="s">
        <v>0</v>
      </c>
      <c r="U28" s="2" t="s">
        <v>0</v>
      </c>
      <c r="V28" s="2" t="s">
        <v>0</v>
      </c>
      <c r="W28" s="2" t="s">
        <v>0</v>
      </c>
      <c r="X28" s="2" t="s">
        <v>0</v>
      </c>
      <c r="Y28" s="2" t="s">
        <v>0</v>
      </c>
      <c r="Z28" s="2" t="s">
        <v>0</v>
      </c>
      <c r="AA28" s="2" t="s">
        <v>0</v>
      </c>
      <c r="AB28" s="2" t="s">
        <v>0</v>
      </c>
      <c r="AC28" s="2" t="s">
        <v>0</v>
      </c>
      <c r="AD28" s="2" t="s">
        <v>0</v>
      </c>
      <c r="AE28" s="2" t="s">
        <v>0</v>
      </c>
      <c r="AF28" s="2" t="s">
        <v>0</v>
      </c>
      <c r="AG28" s="2" t="s">
        <v>0</v>
      </c>
      <c r="AH28" s="2" t="s">
        <v>0</v>
      </c>
      <c r="AI28" s="2" t="s">
        <v>0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>
        <v>28</v>
      </c>
      <c r="BN28" s="1" t="str">
        <f t="shared" si="0"/>
        <v>XXXXXXXXXXXXXXXXXXXXXXXXXXXXXXXXXXXXXXXXXXXXXXXXXXXXXXXXXXXXXXXX</v>
      </c>
      <c r="BO28" t="str">
        <f t="shared" si="1"/>
        <v>m$(28)="XXXXXXXXXXXXXXXXXXXXXXXXXXXXXXXXXXXXXXXXXXXXXXXXXXXXXXXXXXXXXXXX"</v>
      </c>
      <c r="BP28" t="str">
        <f t="shared" si="2"/>
        <v>{"XXXXXXXXXXXXXXXXXXXXXXXXXXXXXXXXXXXXXXXXXXXXXXXXXXXXXXXXXXXXXXXX"},</v>
      </c>
    </row>
    <row r="29" spans="1:68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 t="s">
        <v>0</v>
      </c>
      <c r="M29" s="2" t="s">
        <v>0</v>
      </c>
      <c r="N29" s="2" t="s">
        <v>0</v>
      </c>
      <c r="O29" s="2" t="s">
        <v>0</v>
      </c>
      <c r="P29" s="2" t="s">
        <v>0</v>
      </c>
      <c r="Q29" s="2" t="s">
        <v>0</v>
      </c>
      <c r="R29" s="2" t="s">
        <v>0</v>
      </c>
      <c r="S29" s="2" t="s">
        <v>0</v>
      </c>
      <c r="T29" s="2" t="s">
        <v>0</v>
      </c>
      <c r="U29" s="2" t="s">
        <v>0</v>
      </c>
      <c r="V29" s="2" t="s">
        <v>0</v>
      </c>
      <c r="W29" s="2" t="s">
        <v>0</v>
      </c>
      <c r="X29" s="2" t="s">
        <v>0</v>
      </c>
      <c r="Y29" s="2" t="s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0</v>
      </c>
      <c r="AF29" s="2" t="s">
        <v>0</v>
      </c>
      <c r="AG29" s="2" t="s">
        <v>0</v>
      </c>
      <c r="AH29" s="2" t="s">
        <v>0</v>
      </c>
      <c r="AI29" s="2" t="s">
        <v>0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>
        <v>29</v>
      </c>
      <c r="BN29" s="1" t="str">
        <f t="shared" si="0"/>
        <v>XXXXXXXXXXXXXXXXXXXXXXXXXXXXXXXXXXXXXXXXXXXXXXXXXXXXXXXXXXXXXXXX</v>
      </c>
      <c r="BO29" t="str">
        <f t="shared" si="1"/>
        <v>m$(29)="XXXXXXXXXXXXXXXXXXXXXXXXXXXXXXXXXXXXXXXXXXXXXXXXXXXXXXXXXXXXXXXX"</v>
      </c>
      <c r="BP29" t="str">
        <f t="shared" si="2"/>
        <v>{"XXXXXXXXXXXXXXXXXXXXXXXXXXXXXXXXXXXXXXXXXXXXXXXXXXXXXXXXXXXXXXXX"},</v>
      </c>
    </row>
    <row r="30" spans="1:68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 t="s">
        <v>0</v>
      </c>
      <c r="M30" s="2" t="s">
        <v>0</v>
      </c>
      <c r="N30" s="2" t="s">
        <v>0</v>
      </c>
      <c r="O30" s="2" t="s">
        <v>0</v>
      </c>
      <c r="P30" s="2" t="s">
        <v>0</v>
      </c>
      <c r="Q30" s="2" t="s">
        <v>0</v>
      </c>
      <c r="R30" s="2" t="s">
        <v>0</v>
      </c>
      <c r="S30" s="2" t="s">
        <v>0</v>
      </c>
      <c r="T30" s="2" t="s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0</v>
      </c>
      <c r="Z30" s="2" t="s">
        <v>0</v>
      </c>
      <c r="AA30" s="2" t="s">
        <v>0</v>
      </c>
      <c r="AB30" s="2" t="s">
        <v>0</v>
      </c>
      <c r="AC30" s="2" t="s">
        <v>0</v>
      </c>
      <c r="AD30" s="2" t="s">
        <v>0</v>
      </c>
      <c r="AE30" s="2" t="s">
        <v>0</v>
      </c>
      <c r="AF30" s="2" t="s">
        <v>0</v>
      </c>
      <c r="AG30" s="2" t="s">
        <v>0</v>
      </c>
      <c r="AH30" s="2" t="s">
        <v>0</v>
      </c>
      <c r="AI30" s="2" t="s">
        <v>0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>
        <v>30</v>
      </c>
      <c r="BN30" s="1" t="str">
        <f t="shared" si="0"/>
        <v>XXXXXXXXXXXXXXXXXXXXXXXXXXXXXXXXXXXXXXXXXXXXXXXXXXXXXXXXXXXXXXXX</v>
      </c>
      <c r="BO30" t="str">
        <f t="shared" si="1"/>
        <v>m$(30)="XXXXXXXXXXXXXXXXXXXXXXXXXXXXXXXXXXXXXXXXXXXXXXXXXXXXXXXXXXXXXXXX"</v>
      </c>
      <c r="BP30" t="str">
        <f t="shared" si="2"/>
        <v>{"XXXXXXXXXXXXXXXXXXXXXXXXXXXXXXXXXXXXXXXXXXXXXXXXXXXXXXXXXXXXXXXX"},</v>
      </c>
    </row>
    <row r="31" spans="1:68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 t="s">
        <v>0</v>
      </c>
      <c r="M31" s="2" t="s">
        <v>0</v>
      </c>
      <c r="N31" s="2" t="s">
        <v>0</v>
      </c>
      <c r="O31" s="2" t="s">
        <v>0</v>
      </c>
      <c r="P31" s="2" t="s">
        <v>0</v>
      </c>
      <c r="Q31" s="2" t="s">
        <v>0</v>
      </c>
      <c r="R31" s="2" t="s">
        <v>0</v>
      </c>
      <c r="S31" s="2" t="s">
        <v>0</v>
      </c>
      <c r="T31" s="2" t="s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 t="s">
        <v>0</v>
      </c>
      <c r="Z31" s="2" t="s">
        <v>0</v>
      </c>
      <c r="AA31" s="2" t="s">
        <v>0</v>
      </c>
      <c r="AB31" s="2" t="s">
        <v>0</v>
      </c>
      <c r="AC31" s="2" t="s">
        <v>0</v>
      </c>
      <c r="AD31" s="2" t="s">
        <v>0</v>
      </c>
      <c r="AE31" s="2" t="s">
        <v>0</v>
      </c>
      <c r="AF31" s="2" t="s">
        <v>0</v>
      </c>
      <c r="AG31" s="2" t="s">
        <v>0</v>
      </c>
      <c r="AH31" s="2" t="s">
        <v>0</v>
      </c>
      <c r="AI31" s="2" t="s">
        <v>0</v>
      </c>
      <c r="AJ31" s="2" t="s">
        <v>0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>
        <v>31</v>
      </c>
      <c r="BN31" s="1" t="str">
        <f t="shared" si="0"/>
        <v>XXXXXXXXXXXXXXXXXXXXXXXXXXXXXXXXXXXXXXXXXXXXXXXXXXXXXXXXXXXXXXXX</v>
      </c>
      <c r="BO31" t="str">
        <f t="shared" si="1"/>
        <v>m$(31)="XXXXXXXXXXXXXXXXXXXXXXXXXXXXXXXXXXXXXXXXXXXXXXXXXXXXXXXXXXXXXXXX"</v>
      </c>
      <c r="BP31" t="str">
        <f t="shared" si="2"/>
        <v>{"XXXXXXXXXXXXXXXXXXXXXXXXXXXXXXXXXXXXXXXXXXXXXXXXXXXXXXXXXXXXXXXX"},</v>
      </c>
    </row>
    <row r="32" spans="1:68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0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0</v>
      </c>
      <c r="O32" s="2" t="s">
        <v>0</v>
      </c>
      <c r="P32" s="2" t="s">
        <v>0</v>
      </c>
      <c r="Q32" s="2" t="s">
        <v>0</v>
      </c>
      <c r="R32" s="2" t="s">
        <v>0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0</v>
      </c>
      <c r="AB32" s="2" t="s">
        <v>0</v>
      </c>
      <c r="AC32" s="2" t="s">
        <v>0</v>
      </c>
      <c r="AD32" s="2" t="s">
        <v>0</v>
      </c>
      <c r="AE32" s="2" t="s">
        <v>0</v>
      </c>
      <c r="AF32" s="2" t="s">
        <v>0</v>
      </c>
      <c r="AG32" s="2" t="s">
        <v>0</v>
      </c>
      <c r="AH32" s="2" t="s">
        <v>0</v>
      </c>
      <c r="AI32" s="2" t="s">
        <v>0</v>
      </c>
      <c r="AJ32" s="2" t="s">
        <v>0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>
        <v>32</v>
      </c>
      <c r="BN32" s="1" t="str">
        <f t="shared" si="0"/>
        <v>XXXXXXXXXXXXXXXXXXXXXXXXXXXXXXXXXXXXXXXXXXXXXXXXXXXXXXXXXXXXXXXX</v>
      </c>
      <c r="BO32" t="str">
        <f t="shared" si="1"/>
        <v>m$(32)="XXXXXXXXXXXXXXXXXXXXXXXXXXXXXXXXXXXXXXXXXXXXXXXXXXXXXXXXXXXXXXXX"</v>
      </c>
      <c r="BP32" t="str">
        <f t="shared" si="2"/>
        <v>{"XXXXXXXXXXXXXXXXXXXXXXXXXXXXXXXXXXXXXXXXXXXXXXXXXXXXXXXXXXXXXXXX"},</v>
      </c>
    </row>
    <row r="33" spans="1:68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 t="s">
        <v>0</v>
      </c>
      <c r="I33" s="2" t="s">
        <v>0</v>
      </c>
      <c r="J33" s="2" t="s">
        <v>0</v>
      </c>
      <c r="K33" s="2" t="s">
        <v>0</v>
      </c>
      <c r="L33" s="2" t="s">
        <v>0</v>
      </c>
      <c r="M33" s="2" t="s">
        <v>0</v>
      </c>
      <c r="N33" s="2" t="s">
        <v>0</v>
      </c>
      <c r="O33" s="2" t="s">
        <v>0</v>
      </c>
      <c r="P33" s="2" t="s">
        <v>0</v>
      </c>
      <c r="Q33" s="2" t="s">
        <v>0</v>
      </c>
      <c r="R33" s="2" t="s">
        <v>0</v>
      </c>
      <c r="S33" s="2" t="s">
        <v>0</v>
      </c>
      <c r="T33" s="2" t="s">
        <v>0</v>
      </c>
      <c r="U33" s="2" t="s">
        <v>0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0</v>
      </c>
      <c r="AG33" s="2" t="s">
        <v>0</v>
      </c>
      <c r="AH33" s="2" t="s">
        <v>0</v>
      </c>
      <c r="AI33" s="2" t="s">
        <v>0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>
        <v>33</v>
      </c>
      <c r="BN33" s="1" t="str">
        <f t="shared" si="0"/>
        <v>XXXXXXXXXXXXXXXXXXXXXXXXXXXXXXXXXXXXXXXXXXXXXXXXXXXXXXXXXXXXXXXX</v>
      </c>
      <c r="BO33" t="str">
        <f t="shared" si="1"/>
        <v>m$(33)="XXXXXXXXXXXXXXXXXXXXXXXXXXXXXXXXXXXXXXXXXXXXXXXXXXXXXXXXXXXXXXXX"</v>
      </c>
      <c r="BP33" t="str">
        <f t="shared" si="2"/>
        <v>{"XXXXXXXXXXXXXXXXXXXXXXXXXXXXXXXXXXXXXXXXXXXXXXXXXXXXXXXXXXXXXXXX"},</v>
      </c>
    </row>
    <row r="34" spans="1:68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 t="s">
        <v>0</v>
      </c>
      <c r="I34" s="2" t="s">
        <v>0</v>
      </c>
      <c r="J34" s="2" t="s">
        <v>0</v>
      </c>
      <c r="K34" s="2" t="s">
        <v>0</v>
      </c>
      <c r="L34" s="2" t="s">
        <v>0</v>
      </c>
      <c r="M34" s="2" t="s">
        <v>0</v>
      </c>
      <c r="N34" s="2" t="s">
        <v>0</v>
      </c>
      <c r="O34" s="2" t="s">
        <v>0</v>
      </c>
      <c r="P34" s="2" t="s">
        <v>0</v>
      </c>
      <c r="Q34" s="2" t="s">
        <v>0</v>
      </c>
      <c r="R34" s="2" t="s">
        <v>0</v>
      </c>
      <c r="S34" s="2" t="s">
        <v>0</v>
      </c>
      <c r="T34" s="2" t="s">
        <v>0</v>
      </c>
      <c r="U34" s="2" t="s">
        <v>0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>
        <v>34</v>
      </c>
      <c r="BN34" s="1" t="str">
        <f t="shared" si="0"/>
        <v>XXXXXXXXXXXXXXXXXXXXXXXXXXXXXXXXXXXXXXXXXXXXXXXXXXXXXXXXXXXXXXXX</v>
      </c>
      <c r="BO34" t="str">
        <f t="shared" si="1"/>
        <v>m$(34)="XXXXXXXXXXXXXXXXXXXXXXXXXXXXXXXXXXXXXXXXXXXXXXXXXXXXXXXXXXXXXXXX"</v>
      </c>
      <c r="BP34" t="str">
        <f t="shared" si="2"/>
        <v>{"XXXXXXXXXXXXXXXXXXXXXXXXXXXXXXXXXXXXXXXXXXXXXXXXXXXXXXXXXXXXXXXX"},</v>
      </c>
    </row>
    <row r="35" spans="1:68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 t="s">
        <v>0</v>
      </c>
      <c r="I35" s="2" t="s">
        <v>0</v>
      </c>
      <c r="J35" s="2" t="s">
        <v>0</v>
      </c>
      <c r="K35" s="2" t="s">
        <v>0</v>
      </c>
      <c r="L35" s="2" t="s">
        <v>0</v>
      </c>
      <c r="M35" s="2" t="s">
        <v>0</v>
      </c>
      <c r="N35" s="2" t="s">
        <v>0</v>
      </c>
      <c r="O35" s="2" t="s">
        <v>0</v>
      </c>
      <c r="P35" s="2" t="s">
        <v>0</v>
      </c>
      <c r="Q35" s="2" t="s">
        <v>0</v>
      </c>
      <c r="R35" s="2" t="s">
        <v>0</v>
      </c>
      <c r="S35" s="2" t="s">
        <v>0</v>
      </c>
      <c r="T35" s="2" t="s">
        <v>0</v>
      </c>
      <c r="U35" s="2" t="s">
        <v>0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>
        <v>35</v>
      </c>
      <c r="BN35" s="1" t="str">
        <f t="shared" si="0"/>
        <v>XXXXXXXXXXXXXXXXXXXXXXXXXXXXXXXXXXXXXXXXXXXXXXXXXXXXXXXXXXXXXXXX</v>
      </c>
      <c r="BO35" t="str">
        <f t="shared" si="1"/>
        <v>m$(35)="XXXXXXXXXXXXXXXXXXXXXXXXXXXXXXXXXXXXXXXXXXXXXXXXXXXXXXXXXXXXXXXX"</v>
      </c>
      <c r="BP35" t="str">
        <f t="shared" si="2"/>
        <v>{"XXXXXXXXXXXXXXXXXXXXXXXXXXXXXXXXXXXXXXXXXXXXXXXXXXXXXXXXXXXXXXXX"},</v>
      </c>
    </row>
    <row r="36" spans="1:68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0</v>
      </c>
      <c r="J36" s="2" t="s">
        <v>0</v>
      </c>
      <c r="K36" s="2" t="s">
        <v>0</v>
      </c>
      <c r="L36" s="2" t="s">
        <v>0</v>
      </c>
      <c r="M36" s="2" t="s">
        <v>0</v>
      </c>
      <c r="N36" s="2" t="s">
        <v>0</v>
      </c>
      <c r="O36" s="2" t="s">
        <v>0</v>
      </c>
      <c r="P36" s="2" t="s">
        <v>0</v>
      </c>
      <c r="Q36" s="2" t="s">
        <v>0</v>
      </c>
      <c r="R36" s="2" t="s">
        <v>0</v>
      </c>
      <c r="S36" s="2" t="s">
        <v>0</v>
      </c>
      <c r="T36" s="2" t="s">
        <v>0</v>
      </c>
      <c r="U36" s="2" t="s">
        <v>0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>
        <v>36</v>
      </c>
      <c r="BN36" s="1" t="str">
        <f t="shared" si="0"/>
        <v>XXXXXXXXXXXXXXXXXXXXXXXXXXXXXXXXXXXXXXXXXXXXXXXXXXXXXXXXXXXXXXXX</v>
      </c>
      <c r="BO36" t="str">
        <f t="shared" si="1"/>
        <v>m$(36)="XXXXXXXXXXXXXXXXXXXXXXXXXXXXXXXXXXXXXXXXXXXXXXXXXXXXXXXXXXXXXXXX"</v>
      </c>
      <c r="BP36" t="str">
        <f t="shared" si="2"/>
        <v>{"XXXXXXXXXXXXXXXXXXXXXXXXXXXXXXXXXXXXXXXXXXXXXXXXXXXXXXXXXXXXXXXX"},</v>
      </c>
    </row>
    <row r="37" spans="1:68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 t="s">
        <v>0</v>
      </c>
      <c r="J37" s="2" t="s">
        <v>0</v>
      </c>
      <c r="K37" s="2" t="s">
        <v>0</v>
      </c>
      <c r="L37" s="2" t="s">
        <v>0</v>
      </c>
      <c r="M37" s="2" t="s">
        <v>0</v>
      </c>
      <c r="N37" s="2" t="s">
        <v>0</v>
      </c>
      <c r="O37" s="2" t="s">
        <v>0</v>
      </c>
      <c r="P37" s="2" t="s">
        <v>0</v>
      </c>
      <c r="Q37" s="2" t="s">
        <v>0</v>
      </c>
      <c r="R37" s="2" t="s">
        <v>0</v>
      </c>
      <c r="S37" s="2" t="s">
        <v>0</v>
      </c>
      <c r="T37" s="2" t="s">
        <v>0</v>
      </c>
      <c r="U37" s="2" t="s">
        <v>0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>
        <v>37</v>
      </c>
      <c r="BN37" s="1" t="str">
        <f t="shared" si="0"/>
        <v>XXXXXXXXXXXXXXXXXXXXXXXXXXXXXXXXXXXXXXXXXXXXXXXXXXXXXXXXXXXXXXXX</v>
      </c>
      <c r="BO37" t="str">
        <f t="shared" si="1"/>
        <v>m$(37)="XXXXXXXXXXXXXXXXXXXXXXXXXXXXXXXXXXXXXXXXXXXXXXXXXXXXXXXXXXXXXXXX"</v>
      </c>
      <c r="BP37" t="str">
        <f t="shared" si="2"/>
        <v>{"XXXXXXXXXXXXXXXXXXXXXXXXXXXXXXXXXXXXXXXXXXXXXXXXXXXXXXXXXXXXXXXX"},</v>
      </c>
    </row>
    <row r="38" spans="1:68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0</v>
      </c>
      <c r="J38" s="2" t="s">
        <v>0</v>
      </c>
      <c r="K38" s="2" t="s">
        <v>0</v>
      </c>
      <c r="L38" s="2" t="s">
        <v>0</v>
      </c>
      <c r="M38" s="2" t="s">
        <v>0</v>
      </c>
      <c r="N38" s="2" t="s">
        <v>0</v>
      </c>
      <c r="O38" s="2" t="s">
        <v>0</v>
      </c>
      <c r="P38" s="2" t="s">
        <v>0</v>
      </c>
      <c r="Q38" s="2" t="s">
        <v>0</v>
      </c>
      <c r="R38" s="2" t="s">
        <v>0</v>
      </c>
      <c r="S38" s="2" t="s">
        <v>0</v>
      </c>
      <c r="T38" s="2" t="s">
        <v>0</v>
      </c>
      <c r="U38" s="2" t="s">
        <v>0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>
        <v>38</v>
      </c>
      <c r="BN38" s="1" t="str">
        <f t="shared" si="0"/>
        <v>XXXXXXXXXXXXXXXXXXXXXXXXXXXXXXXXXXXXXXXXXXXXXXXXXXXXXXXXXXXXXXXX</v>
      </c>
      <c r="BO38" t="str">
        <f t="shared" si="1"/>
        <v>m$(38)="XXXXXXXXXXXXXXXXXXXXXXXXXXXXXXXXXXXXXXXXXXXXXXXXXXXXXXXXXXXXXXXX"</v>
      </c>
      <c r="BP38" t="str">
        <f t="shared" si="2"/>
        <v>{"XXXXXXXXXXXXXXXXXXXXXXXXXXXXXXXXXXXXXXXXXXXXXXXXXXXXXXXXXXXXXXXX"},</v>
      </c>
    </row>
    <row r="39" spans="1:68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 t="s">
        <v>0</v>
      </c>
      <c r="I39" s="2" t="s">
        <v>0</v>
      </c>
      <c r="J39" s="2" t="s">
        <v>0</v>
      </c>
      <c r="K39" s="2" t="s">
        <v>0</v>
      </c>
      <c r="L39" s="2" t="s">
        <v>0</v>
      </c>
      <c r="M39" s="2" t="s">
        <v>0</v>
      </c>
      <c r="N39" s="2" t="s">
        <v>0</v>
      </c>
      <c r="O39" s="2" t="s">
        <v>0</v>
      </c>
      <c r="P39" s="2" t="s">
        <v>0</v>
      </c>
      <c r="Q39" s="2" t="s">
        <v>0</v>
      </c>
      <c r="R39" s="2" t="s">
        <v>0</v>
      </c>
      <c r="S39" s="2" t="s">
        <v>0</v>
      </c>
      <c r="T39" s="2" t="s">
        <v>0</v>
      </c>
      <c r="U39" s="2" t="s">
        <v>0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>
        <v>39</v>
      </c>
      <c r="BN39" s="1" t="str">
        <f t="shared" si="0"/>
        <v>XXXXXXXXXXXXXXXXXXXXXXXXXXXXXXXXXXXXXXXXXXXXXXXXXXXXXXXXXXXXXXXX</v>
      </c>
      <c r="BO39" t="str">
        <f t="shared" si="1"/>
        <v>m$(39)="XXXXXXXXXXXXXXXXXXXXXXXXXXXXXXXXXXXXXXXXXXXXXXXXXXXXXXXXXXXXXXXX"</v>
      </c>
      <c r="BP39" t="str">
        <f t="shared" si="2"/>
        <v>{"XXXXXXXXXXXXXXXXXXXXXXXXXXXXXXXXXXXXXXXXXXXXXXXXXXXXXXXXXXXXXXXX"},</v>
      </c>
    </row>
    <row r="40" spans="1:68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 t="s">
        <v>0</v>
      </c>
      <c r="I40" s="2" t="s">
        <v>0</v>
      </c>
      <c r="J40" s="2" t="s">
        <v>0</v>
      </c>
      <c r="K40" s="2" t="s">
        <v>0</v>
      </c>
      <c r="L40" s="2" t="s">
        <v>0</v>
      </c>
      <c r="M40" s="2" t="s">
        <v>0</v>
      </c>
      <c r="N40" s="2" t="s">
        <v>0</v>
      </c>
      <c r="O40" s="2" t="s">
        <v>0</v>
      </c>
      <c r="P40" s="2" t="s">
        <v>0</v>
      </c>
      <c r="Q40" s="2" t="s">
        <v>0</v>
      </c>
      <c r="R40" s="2" t="s">
        <v>0</v>
      </c>
      <c r="S40" s="2" t="s">
        <v>0</v>
      </c>
      <c r="T40" s="2" t="s">
        <v>0</v>
      </c>
      <c r="U40" s="2" t="s">
        <v>0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>
        <v>40</v>
      </c>
      <c r="BN40" s="1" t="str">
        <f t="shared" si="0"/>
        <v>XXXXXXXXXXXXXXXXXXXXXXXXXXXXXXXXXXXXXXXXXXXXXXXXXXXXXXXXXXXXXXXX</v>
      </c>
      <c r="BO40" t="str">
        <f t="shared" si="1"/>
        <v>m$(40)="XXXXXXXXXXXXXXXXXXXXXXXXXXXXXXXXXXXXXXXXXXXXXXXXXXXXXXXXXXXXXXXX"</v>
      </c>
      <c r="BP40" t="str">
        <f t="shared" si="2"/>
        <v>{"XXXXXXXXXXXXXXXXXXXXXXXXXXXXXXXXXXXXXXXXXXXXXXXXXXXXXXXXXXXXXXXX"},</v>
      </c>
    </row>
    <row r="41" spans="1:68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 t="s">
        <v>0</v>
      </c>
      <c r="M41" s="2" t="s">
        <v>0</v>
      </c>
      <c r="N41" s="2" t="s">
        <v>0</v>
      </c>
      <c r="O41" s="2" t="s">
        <v>0</v>
      </c>
      <c r="P41" s="2" t="s">
        <v>0</v>
      </c>
      <c r="Q41" s="2" t="s">
        <v>0</v>
      </c>
      <c r="R41" s="2" t="s">
        <v>0</v>
      </c>
      <c r="S41" s="2" t="s">
        <v>0</v>
      </c>
      <c r="T41" s="2" t="s">
        <v>0</v>
      </c>
      <c r="U41" s="2" t="s">
        <v>0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>
        <v>41</v>
      </c>
      <c r="BN41" s="1" t="str">
        <f t="shared" si="0"/>
        <v>XXXXXXXXXXXXXXXXXXXXXXXXXXXXXXXXXXXXXXXXXXXXXXXXXXXXXXXXXXXXXXXX</v>
      </c>
      <c r="BO41" t="str">
        <f t="shared" si="1"/>
        <v>m$(41)="XXXXXXXXXXXXXXXXXXXXXXXXXXXXXXXXXXXXXXXXXXXXXXXXXXXXXXXXXXXXXXXX"</v>
      </c>
      <c r="BP41" t="str">
        <f t="shared" si="2"/>
        <v>{"XXXXXXXXXXXXXXXXXXXXXXXXXXXXXXXXXXXXXXXXXXXXXXXXXXXXXXXXXXXXXXXX"},</v>
      </c>
    </row>
    <row r="42" spans="1:68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>
        <v>42</v>
      </c>
      <c r="BN42" s="1" t="str">
        <f t="shared" si="0"/>
        <v>XXXXXXXXXXXXXXXXXXXXXXXXXXXXXXXXXXXXXXXXXXXXXXXXXXXXXXXXXXXXXXXX</v>
      </c>
      <c r="BO42" t="str">
        <f t="shared" si="1"/>
        <v>m$(42)="XXXXXXXXXXXXXXXXXXXXXXXXXXXXXXXXXXXXXXXXXXXXXXXXXXXXXXXXXXXXXXXX"</v>
      </c>
      <c r="BP42" t="str">
        <f t="shared" si="2"/>
        <v>{"XXXXXXXXXXXXXXXXXXXXXXXXXXXXXXXXXXXXXXXXXXXXXXXXXXXXXXXXXXXXXXXX"},</v>
      </c>
    </row>
    <row r="43" spans="1:68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>
        <v>43</v>
      </c>
      <c r="BN43" s="1" t="str">
        <f t="shared" si="0"/>
        <v>XXXXXXXXXXXXXXXXXXXXXXXXXXXXXXXXXXXXXXXXXXXXXXXXXXXXXXXXXXXXXXXX</v>
      </c>
      <c r="BO43" t="str">
        <f t="shared" si="1"/>
        <v>m$(43)="XXXXXXXXXXXXXXXXXXXXXXXXXXXXXXXXXXXXXXXXXXXXXXXXXXXXXXXXXXXXXXXX"</v>
      </c>
      <c r="BP43" t="str">
        <f t="shared" si="2"/>
        <v>{"XXXXXXXXXXXXXXXXXXXXXXXXXXXXXXXXXXXXXXXXXXXXXXXXXXXXXXXXXXXXXXXX"},</v>
      </c>
    </row>
    <row r="44" spans="1:68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>
        <v>44</v>
      </c>
      <c r="BN44" s="1" t="str">
        <f t="shared" si="0"/>
        <v>XXXXXXXXXXXXXXXXXXXXXXXXXXXXXXXXXXXXXXXXXXXXXXXXXXXXXXXXXXXXXXXX</v>
      </c>
      <c r="BO44" t="str">
        <f t="shared" si="1"/>
        <v>m$(44)="XXXXXXXXXXXXXXXXXXXXXXXXXXXXXXXXXXXXXXXXXXXXXXXXXXXXXXXXXXXXXXXX"</v>
      </c>
      <c r="BP44" t="str">
        <f t="shared" si="2"/>
        <v>{"XXXXXXXXXXXXXXXXXXXXXXXXXXXXXXXXXXXXXXXXXXXXXXXXXXXXXXXXXXXXXXXX"},</v>
      </c>
    </row>
    <row r="45" spans="1:68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>
        <v>45</v>
      </c>
      <c r="BN45" s="1" t="str">
        <f t="shared" si="0"/>
        <v>XXXXXXXXXXXXXXXXXXXXXXXXXXXXXXXXXXXXXXXXXXXXXXXXXXXXXXXXXXXXXXXX</v>
      </c>
      <c r="BO45" t="str">
        <f t="shared" si="1"/>
        <v>m$(45)="XXXXXXXXXXXXXXXXXXXXXXXXXXXXXXXXXXXXXXXXXXXXXXXXXXXXXXXXXXXXXXXX"</v>
      </c>
      <c r="BP45" t="str">
        <f t="shared" si="2"/>
        <v>{"XXXXXXXXXXXXXXXXXXXXXXXXXXXXXXXXXXXXXXXXXXXXXXXXXXXXXXXXXXXXXXXX"},</v>
      </c>
    </row>
    <row r="46" spans="1:68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>
        <v>46</v>
      </c>
      <c r="BN46" s="1" t="str">
        <f t="shared" si="0"/>
        <v>XXXXXXXXXXXXXXXXXXXXXXXXXXXXXXXXXXXXXXXXXXXXXXXXXXXXXXXXXXXXXXXX</v>
      </c>
      <c r="BO46" t="str">
        <f t="shared" si="1"/>
        <v>m$(46)="XXXXXXXXXXXXXXXXXXXXXXXXXXXXXXXXXXXXXXXXXXXXXXXXXXXXXXXXXXXXXXXX"</v>
      </c>
      <c r="BP46" t="str">
        <f t="shared" si="2"/>
        <v>{"XXXXXXXXXXXXXXXXXXXXXXXXXXXXXXXXXXXXXXXXXXXXXXXXXXXXXXXXXXXXXXXX"},</v>
      </c>
    </row>
    <row r="47" spans="1:68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>
        <v>47</v>
      </c>
      <c r="BN47" s="1" t="str">
        <f t="shared" si="0"/>
        <v>XXXXXXXXXXXXXXXXXXXXXXXXXXXXXXXXXXXXXXXXXXXXXXXXXXXXXXXXXXXXXXXX</v>
      </c>
      <c r="BO47" t="str">
        <f t="shared" si="1"/>
        <v>m$(47)="XXXXXXXXXXXXXXXXXXXXXXXXXXXXXXXXXXXXXXXXXXXXXXXXXXXXXXXXXXXXXXXX"</v>
      </c>
      <c r="BP47" t="str">
        <f t="shared" si="2"/>
        <v>{"XXXXXXXXXXXXXXXXXXXXXXXXXXXXXXXXXXXXXXXXXXXXXXXXXXXXXXXXXXXXXXXX"},</v>
      </c>
    </row>
    <row r="48" spans="1:68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>
        <v>48</v>
      </c>
      <c r="BN48" s="1" t="str">
        <f t="shared" si="0"/>
        <v>XXXXXXXXXXXXXXXXXXXXXXXXXXXXXXXXXXXXXXXXXXXXXXXXXXXXXXXXXXXXXXXX</v>
      </c>
      <c r="BO48" t="str">
        <f t="shared" si="1"/>
        <v>m$(48)="XXXXXXXXXXXXXXXXXXXXXXXXXXXXXXXXXXXXXXXXXXXXXXXXXXXXXXXXXXXXXXXX"</v>
      </c>
      <c r="BP48" t="str">
        <f t="shared" si="2"/>
        <v>{"XXXXXXXXXXXXXXXXXXXXXXXXXXXXXXXXXXXXXXXXXXXXXXXXXXXXXXXXXXXXXXXX"},</v>
      </c>
    </row>
    <row r="49" spans="1:68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>
        <v>49</v>
      </c>
      <c r="BN49" s="1" t="str">
        <f t="shared" si="0"/>
        <v>XXXXXXXXXXXXXXXXXXXXXXXXXXXXXXXXXXXXXXXXXXXXXXXXXXXXXXXXXXXXXXXX</v>
      </c>
      <c r="BO49" t="str">
        <f t="shared" si="1"/>
        <v>m$(49)="XXXXXXXXXXXXXXXXXXXXXXXXXXXXXXXXXXXXXXXXXXXXXXXXXXXXXXXXXXXXXXXX"</v>
      </c>
      <c r="BP49" t="str">
        <f t="shared" si="2"/>
        <v>{"XXXXXXXXXXXXXXXXXXXXXXXXXXXXXXXXXXXXXXXXXXXXXXXXXXXXXXXXXXXXXXXX"},</v>
      </c>
    </row>
    <row r="50" spans="1:68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>
        <v>50</v>
      </c>
      <c r="BN50" s="1" t="str">
        <f t="shared" si="0"/>
        <v>XXXXXXXXXXXXXXXXXXXXXXXXXXXXXXXXXXXXXXXXXXXXXXXXXXXXXXXXXXXXXXXX</v>
      </c>
      <c r="BO50" t="str">
        <f t="shared" si="1"/>
        <v>m$(50)="XXXXXXXXXXXXXXXXXXXXXXXXXXXXXXXXXXXXXXXXXXXXXXXXXXXXXXXXXXXXXXXX"</v>
      </c>
      <c r="BP50" t="str">
        <f t="shared" si="2"/>
        <v>{"XXXXXXXXXXXXXXXXXXXXXXXXXXXXXXXXXXXXXXXXXXXXXXXXXXXXXXXXXXXXXXXX"},</v>
      </c>
    </row>
    <row r="51" spans="1:68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>
        <v>51</v>
      </c>
      <c r="BN51" s="1" t="str">
        <f t="shared" si="0"/>
        <v>XXXXXXXXXXXXXXXXXXXXXXXXXXXXXXXXXXXXXXXXXXXXXXXXXXXXXXXXXXXXXXXX</v>
      </c>
      <c r="BO51" t="str">
        <f t="shared" si="1"/>
        <v>m$(51)="XXXXXXXXXXXXXXXXXXXXXXXXXXXXXXXXXXXXXXXXXXXXXXXXXXXXXXXXXXXXXXXX"</v>
      </c>
      <c r="BP51" t="str">
        <f t="shared" si="2"/>
        <v>{"XXXXXXXXXXXXXXXXXXXXXXXXXXXXXXXXXXXXXXXXXXXXXXXXXXXXXXXXXXXXXXXX"},</v>
      </c>
    </row>
    <row r="52" spans="1:68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>
        <v>52</v>
      </c>
      <c r="BN52" s="1" t="str">
        <f t="shared" si="0"/>
        <v>XXXXXXXXXXXXXXXXXXXXXXXXXXXXXXXXXXXXXXXXXXXXXXXXXXXXXXXXXXXXXXXX</v>
      </c>
      <c r="BO52" t="str">
        <f t="shared" si="1"/>
        <v>m$(52)="XXXXXXXXXXXXXXXXXXXXXXXXXXXXXXXXXXXXXXXXXXXXXXXXXXXXXXXXXXXXXXXX"</v>
      </c>
      <c r="BP52" t="str">
        <f t="shared" si="2"/>
        <v>{"XXXXXXXXXXXXXXXXXXXXXXXXXXXXXXXXXXXXXXXXXXXXXXXXXXXXXXXXXXXXXXXX"},</v>
      </c>
    </row>
    <row r="53" spans="1:68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>
        <v>53</v>
      </c>
      <c r="BN53" s="1" t="str">
        <f t="shared" si="0"/>
        <v>XXXXXXXXXXXXXXXXXXXXXXXXXXXXXXXXXXXXXXXXXXXXXXXXXXXXXXXXXXXXXXXX</v>
      </c>
      <c r="BO53" t="str">
        <f t="shared" si="1"/>
        <v>m$(53)="XXXXXXXXXXXXXXXXXXXXXXXXXXXXXXXXXXXXXXXXXXXXXXXXXXXXXXXXXXXXXXXX"</v>
      </c>
      <c r="BP53" t="str">
        <f t="shared" si="2"/>
        <v>{"XXXXXXXXXXXXXXXXXXXXXXXXXXXXXXXXXXXXXXXXXXXXXXXXXXXXXXXXXXXXXXXX"},</v>
      </c>
    </row>
    <row r="54" spans="1:68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>
        <v>54</v>
      </c>
      <c r="BN54" s="1" t="str">
        <f t="shared" si="0"/>
        <v>XXXXXXXXXXXXXXXXXXXXXXXXXXXXXXXXXXXXXXXXXXXXXXXXXXXXXXXXXXXXXXXX</v>
      </c>
      <c r="BO54" t="str">
        <f t="shared" si="1"/>
        <v>m$(54)="XXXXXXXXXXXXXXXXXXXXXXXXXXXXXXXXXXXXXXXXXXXXXXXXXXXXXXXXXXXXXXXX"</v>
      </c>
      <c r="BP54" t="str">
        <f t="shared" si="2"/>
        <v>{"XXXXXXXXXXXXXXXXXXXXXXXXXXXXXXXXXXXXXXXXXXXXXXXXXXXXXXXXXXXXXXXX"},</v>
      </c>
    </row>
    <row r="55" spans="1:68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>
        <v>55</v>
      </c>
      <c r="BN55" s="1" t="str">
        <f t="shared" si="0"/>
        <v>XXXXXXXXXXXXXXXXXXXXXXXXXXXXXXXXXXXXXXXXXXXXXXXXXXXXXXXXXXXXXXXX</v>
      </c>
      <c r="BO55" t="str">
        <f t="shared" si="1"/>
        <v>m$(55)="XXXXXXXXXXXXXXXXXXXXXXXXXXXXXXXXXXXXXXXXXXXXXXXXXXXXXXXXXXXXXXXX"</v>
      </c>
      <c r="BP55" t="str">
        <f t="shared" si="2"/>
        <v>{"XXXXXXXXXXXXXXXXXXXXXXXXXXXXXXXXXXXXXXXXXXXXXXXXXXXXXXXXXXXXXXXX"},</v>
      </c>
    </row>
    <row r="56" spans="1:68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>
        <v>56</v>
      </c>
      <c r="BN56" s="1" t="str">
        <f t="shared" si="0"/>
        <v>XXXXXXXXXXXXXXXXXXXXXXXXXXXXXXXXXXXXXXXXXXXXXXXXXXXXXXXXXXXXXXXX</v>
      </c>
      <c r="BO56" t="str">
        <f t="shared" si="1"/>
        <v>m$(56)="XXXXXXXXXXXXXXXXXXXXXXXXXXXXXXXXXXXXXXXXXXXXXXXXXXXXXXXXXXXXXXXX"</v>
      </c>
      <c r="BP56" t="str">
        <f t="shared" si="2"/>
        <v>{"XXXXXXXXXXXXXXXXXXXXXXXXXXXXXXXXXXXXXXXXXXXXXXXXXXXXXXXXXXXXXXXX"},</v>
      </c>
    </row>
    <row r="57" spans="1:68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>
        <v>57</v>
      </c>
      <c r="BN57" s="1" t="str">
        <f t="shared" si="0"/>
        <v>XXXXXXXXXXXXXXXXXXXXXXXXXXXXXXXXXXXXXXXXXXXXXXXXXXXXXXXXXXXXXXXX</v>
      </c>
      <c r="BO57" t="str">
        <f t="shared" si="1"/>
        <v>m$(57)="XXXXXXXXXXXXXXXXXXXXXXXXXXXXXXXXXXXXXXXXXXXXXXXXXXXXXXXXXXXXXXXX"</v>
      </c>
      <c r="BP57" t="str">
        <f t="shared" si="2"/>
        <v>{"XXXXXXXXXXXXXXXXXXXXXXXXXXXXXXXXXXXXXXXXXXXXXXXXXXXXXXXXXXXXXXXX"},</v>
      </c>
    </row>
    <row r="58" spans="1:68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>
        <v>58</v>
      </c>
      <c r="BN58" s="1" t="str">
        <f t="shared" si="0"/>
        <v>XXXXXXXXXXXXXXXXXXXXXXXXXXXXXXXXXXXXXXXXXXXXXXXXXXXXXXXXXXXXXXXX</v>
      </c>
      <c r="BO58" t="str">
        <f t="shared" si="1"/>
        <v>m$(58)="XXXXXXXXXXXXXXXXXXXXXXXXXXXXXXXXXXXXXXXXXXXXXXXXXXXXXXXXXXXXXXXX"</v>
      </c>
      <c r="BP58" t="str">
        <f t="shared" si="2"/>
        <v>{"XXXXXXXXXXXXXXXXXXXXXXXXXXXXXXXXXXXXXXXXXXXXXXXXXXXXXXXXXXXXXXXX"},</v>
      </c>
    </row>
    <row r="59" spans="1:68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>
        <v>59</v>
      </c>
      <c r="BN59" s="1" t="str">
        <f t="shared" si="0"/>
        <v>XXXXXXXXXXXXXXXXXXXXXXXXXXXXXXXXXXXXXXXXXXXXXXXXXXXXXXXXXXXXXXXX</v>
      </c>
      <c r="BO59" t="str">
        <f t="shared" si="1"/>
        <v>m$(59)="XXXXXXXXXXXXXXXXXXXXXXXXXXXXXXXXXXXXXXXXXXXXXXXXXXXXXXXXXXXXXXXX"</v>
      </c>
      <c r="BP59" t="str">
        <f t="shared" si="2"/>
        <v>{"XXXXXXXXXXXXXXXXXXXXXXXXXXXXXXXXXXXXXXXXXXXXXXXXXXXXXXXXXXXXXXXX"},</v>
      </c>
    </row>
    <row r="60" spans="1:68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>
        <v>60</v>
      </c>
      <c r="BN60" s="1" t="str">
        <f t="shared" si="0"/>
        <v>XXXXXXXXXXXXXXXXXXXXXXXXXXXXXXXXXXXXXXXXXXXXXXXXXXXXXXXXXXXXXXXX</v>
      </c>
      <c r="BO60" t="str">
        <f t="shared" si="1"/>
        <v>m$(60)="XXXXXXXXXXXXXXXXXXXXXXXXXXXXXXXXXXXXXXXXXXXXXXXXXXXXXXXXXXXXXXXX"</v>
      </c>
      <c r="BP60" t="str">
        <f t="shared" si="2"/>
        <v>{"XXXXXXXXXXXXXXXXXXXXXXXXXXXXXXXXXXXXXXXXXXXXXXXXXXXXXXXXXXXXXXXX"},</v>
      </c>
    </row>
    <row r="61" spans="1:68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>
        <v>61</v>
      </c>
      <c r="BN61" s="1" t="str">
        <f t="shared" si="0"/>
        <v>XXXXXXXXXXXXXXXXXXXXXXXXXXXXXXXXXXXXXXXXXXXXXXXXXXXXXXXXXXXXXXXX</v>
      </c>
      <c r="BO61" t="str">
        <f t="shared" si="1"/>
        <v>m$(61)="XXXXXXXXXXXXXXXXXXXXXXXXXXXXXXXXXXXXXXXXXXXXXXXXXXXXXXXXXXXXXXXX"</v>
      </c>
      <c r="BP61" t="str">
        <f t="shared" si="2"/>
        <v>{"XXXXXXXXXXXXXXXXXXXXXXXXXXXXXXXXXXXXXXXXXXXXXXXXXXXXXXXXXXXXXXXX"},</v>
      </c>
    </row>
    <row r="62" spans="1:68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>
        <v>62</v>
      </c>
      <c r="BN62" s="1" t="str">
        <f t="shared" si="0"/>
        <v>XXXXXXXXXXXXXXXXXXXXXXXXXXXXXXXXXXXXXXXXXXXXXXXXXXXXXXXXXXXXXXXX</v>
      </c>
      <c r="BO62" t="str">
        <f t="shared" si="1"/>
        <v>m$(62)="XXXXXXXXXXXXXXXXXXXXXXXXXXXXXXXXXXXXXXXXXXXXXXXXXXXXXXXXXXXXXXXX"</v>
      </c>
      <c r="BP62" t="str">
        <f t="shared" si="2"/>
        <v>{"XXXXXXXXXXXXXXXXXXXXXXXXXXXXXXXXXXXXXXXXXXXXXXXXXXXXXXXXXXXXXXXX"},</v>
      </c>
    </row>
    <row r="63" spans="1:68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>
        <v>63</v>
      </c>
      <c r="BN63" s="1" t="str">
        <f t="shared" si="0"/>
        <v>XXXXXXXXXXXXXXXXXXXXXXXXXXXXXXXXXXXXXXXXXXXXXXXXXXXXXXXXXXXXXXXX</v>
      </c>
      <c r="BO63" t="str">
        <f t="shared" si="1"/>
        <v>m$(63)="XXXXXXXXXXXXXXXXXXXXXXXXXXXXXXXXXXXXXXXXXXXXXXXXXXXXXXXXXXXXXXXX"</v>
      </c>
      <c r="BP63" t="str">
        <f t="shared" si="2"/>
        <v>{"XXXXXXXXXXXXXXXXXXXXXXXXXXXXXXXXXXXXXXXXXXXXXXXXXXXXXXXXXXXXXXXX"},</v>
      </c>
    </row>
    <row r="64" spans="1:68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>
        <v>64</v>
      </c>
      <c r="BN64" s="1" t="str">
        <f t="shared" si="0"/>
        <v>XXXXXXXXXXXXXXXXXXXXXXXXXXXXXXXXXXXXXXXXXXXXXXXXXXXXXXXXXXXXXXXX</v>
      </c>
      <c r="BO64" t="str">
        <f t="shared" si="1"/>
        <v>m$(64)="XXXXXXXXXXXXXXXXXXXXXXXXXXXXXXXXXXXXXXXXXXXXXXXXXXXXXXXXXXXXXXXX"</v>
      </c>
      <c r="BP64" t="str">
        <f t="shared" si="2"/>
        <v>{"XXXXXXXXXXXXXXXXXXXXXXXXXXXXXXXXXXXXXXXXXXXXXXXXXXXXXXXXXXXXXXXX"},</v>
      </c>
    </row>
  </sheetData>
  <conditionalFormatting sqref="A1:BL64">
    <cfRule type="containsText" dxfId="6" priority="7" operator="containsText" text="X">
      <formula>NOT(ISERROR(SEARCH("X",A1)))</formula>
    </cfRule>
  </conditionalFormatting>
  <conditionalFormatting sqref="A1:BL1048576">
    <cfRule type="cellIs" dxfId="5" priority="1" operator="equal">
      <formula>"B"</formula>
    </cfRule>
    <cfRule type="cellIs" dxfId="4" priority="2" operator="equal">
      <formula>"H"</formula>
    </cfRule>
    <cfRule type="cellIs" dxfId="3" priority="3" operator="equal">
      <formula>"A"</formula>
    </cfRule>
    <cfRule type="cellIs" dxfId="2" priority="4" operator="equal">
      <formula>"D"</formula>
    </cfRule>
    <cfRule type="cellIs" dxfId="1" priority="5" operator="equal">
      <formula>"P"</formula>
    </cfRule>
    <cfRule type="cellIs" dxfId="0" priority="6" operator="equal">
      <formula>"W"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2:D12"/>
  <sheetViews>
    <sheetView workbookViewId="0">
      <selection activeCell="I17" sqref="I17"/>
    </sheetView>
  </sheetViews>
  <sheetFormatPr defaultRowHeight="15" x14ac:dyDescent="0.25"/>
  <cols>
    <col min="1" max="1" width="11.85546875" bestFit="1" customWidth="1"/>
  </cols>
  <sheetData>
    <row r="2" spans="1:4" x14ac:dyDescent="0.25">
      <c r="A2" t="s">
        <v>17</v>
      </c>
      <c r="B2">
        <f>256*160*2/8</f>
        <v>10240</v>
      </c>
    </row>
    <row r="3" spans="1:4" x14ac:dyDescent="0.25">
      <c r="A3" t="s">
        <v>18</v>
      </c>
      <c r="B3">
        <f>64*64</f>
        <v>4096</v>
      </c>
    </row>
    <row r="4" spans="1:4" x14ac:dyDescent="0.25">
      <c r="A4" t="s">
        <v>56</v>
      </c>
      <c r="B4">
        <f>2*1024</f>
        <v>2048</v>
      </c>
    </row>
    <row r="5" spans="1:4" x14ac:dyDescent="0.25">
      <c r="A5" t="s">
        <v>57</v>
      </c>
      <c r="B5">
        <f>8*1024</f>
        <v>8192</v>
      </c>
    </row>
    <row r="6" spans="1:4" x14ac:dyDescent="0.25">
      <c r="A6" t="s">
        <v>58</v>
      </c>
      <c r="B6">
        <f>HEX2DEC("2000")</f>
        <v>8192</v>
      </c>
    </row>
    <row r="7" spans="1:4" x14ac:dyDescent="0.25">
      <c r="A7" t="s">
        <v>59</v>
      </c>
      <c r="B7">
        <v>4096</v>
      </c>
    </row>
    <row r="8" spans="1:4" x14ac:dyDescent="0.25">
      <c r="A8" t="s">
        <v>60</v>
      </c>
      <c r="B8">
        <v>1024</v>
      </c>
    </row>
    <row r="10" spans="1:4" x14ac:dyDescent="0.25">
      <c r="A10" t="s">
        <v>19</v>
      </c>
      <c r="B10">
        <f>SUM(B2:B8)</f>
        <v>37888</v>
      </c>
    </row>
    <row r="12" spans="1:4" x14ac:dyDescent="0.25">
      <c r="A12" t="s">
        <v>20</v>
      </c>
      <c r="B12">
        <f>65536-B10</f>
        <v>27648</v>
      </c>
      <c r="D12" s="4">
        <f>B12/65536</f>
        <v>0.421875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J2" sqref="J2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41</v>
      </c>
      <c r="C1" t="s">
        <v>46</v>
      </c>
      <c r="D1" t="s">
        <v>45</v>
      </c>
      <c r="F1" t="s">
        <v>41</v>
      </c>
      <c r="G1" t="s">
        <v>46</v>
      </c>
      <c r="H1" t="s">
        <v>45</v>
      </c>
      <c r="J1" t="s">
        <v>47</v>
      </c>
    </row>
    <row r="2" spans="1:12" x14ac:dyDescent="0.25">
      <c r="A2" t="s">
        <v>42</v>
      </c>
      <c r="B2">
        <v>16</v>
      </c>
      <c r="D2">
        <f>1000/B2</f>
        <v>62.5</v>
      </c>
      <c r="F2">
        <v>630</v>
      </c>
      <c r="H2">
        <f>1000/F2</f>
        <v>1.5873015873015872</v>
      </c>
      <c r="J2">
        <f>F2/B2</f>
        <v>39.375</v>
      </c>
      <c r="L2">
        <f>F2/40</f>
        <v>15.75</v>
      </c>
    </row>
    <row r="3" spans="1:12" x14ac:dyDescent="0.25">
      <c r="A3" t="s">
        <v>43</v>
      </c>
      <c r="B3">
        <v>640</v>
      </c>
      <c r="C3">
        <v>16</v>
      </c>
      <c r="D3">
        <f>1000/B3</f>
        <v>1.5625</v>
      </c>
      <c r="F3">
        <v>790</v>
      </c>
      <c r="H3">
        <f>1000/F3</f>
        <v>1.2658227848101267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44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F8"/>
  <sheetViews>
    <sheetView workbookViewId="0">
      <selection activeCell="A7" sqref="A7"/>
    </sheetView>
  </sheetViews>
  <sheetFormatPr defaultRowHeight="15" x14ac:dyDescent="0.25"/>
  <cols>
    <col min="1" max="1" width="12.85546875" bestFit="1" customWidth="1"/>
    <col min="3" max="3" width="9.140625" style="4"/>
  </cols>
  <sheetData>
    <row r="1" spans="1:6" x14ac:dyDescent="0.25">
      <c r="B1" t="s">
        <v>48</v>
      </c>
      <c r="E1" t="s">
        <v>46</v>
      </c>
      <c r="F1" t="s">
        <v>53</v>
      </c>
    </row>
    <row r="2" spans="1:6" x14ac:dyDescent="0.25">
      <c r="A2" t="s">
        <v>42</v>
      </c>
      <c r="B2">
        <v>130</v>
      </c>
      <c r="E2">
        <f>B2/40</f>
        <v>3.25</v>
      </c>
      <c r="F2">
        <f>E2/3</f>
        <v>1.0833333333333333</v>
      </c>
    </row>
    <row r="3" spans="1:6" x14ac:dyDescent="0.25">
      <c r="A3" t="s">
        <v>49</v>
      </c>
      <c r="B3">
        <v>140</v>
      </c>
      <c r="C3" s="4">
        <f t="shared" ref="C3:C8" si="0">(B3/$B$2)-1</f>
        <v>7.6923076923076872E-2</v>
      </c>
      <c r="E3">
        <f t="shared" ref="E3:E8" si="1">B3/40</f>
        <v>3.5</v>
      </c>
      <c r="F3">
        <f t="shared" ref="F3:F8" si="2">E3/3</f>
        <v>1.1666666666666667</v>
      </c>
    </row>
    <row r="4" spans="1:6" x14ac:dyDescent="0.25">
      <c r="A4" t="s">
        <v>50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6" x14ac:dyDescent="0.25">
      <c r="A5" t="s">
        <v>51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6" x14ac:dyDescent="0.25">
      <c r="A6" t="s">
        <v>52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6" x14ac:dyDescent="0.25">
      <c r="A7" t="s">
        <v>54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6" x14ac:dyDescent="0.25">
      <c r="A8" t="s">
        <v>55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Mapbits</vt:lpstr>
      <vt:lpstr>Sheet1</vt:lpstr>
      <vt:lpstr>Tiles Type</vt:lpstr>
      <vt:lpstr>Level 1</vt:lpstr>
      <vt:lpstr>Memory Budget</vt:lpstr>
      <vt:lpstr>Performance</vt:lpstr>
      <vt:lpstr>Optimisation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2026-06-26T10:57:22Z</dcterms:modified>
</cp:coreProperties>
</file>