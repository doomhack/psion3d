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DC6F0CF1-D93C-4C5C-A89B-0CBC76F7D0D8}" xr6:coauthVersionLast="47" xr6:coauthVersionMax="47" xr10:uidLastSave="{00000000-0000-0000-0000-000000000000}"/>
  <bookViews>
    <workbookView xWindow="-120" yWindow="-120" windowWidth="29040" windowHeight="15720" activeTab="5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Optimisation" sheetId="7" r:id="rId8"/>
    <sheet name="Performance" sheetId="6" r:id="rId9"/>
    <sheet name="TIming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7" l="1"/>
  <c r="G14" i="7"/>
  <c r="F15" i="7"/>
  <c r="F14" i="7"/>
  <c r="F13" i="7"/>
  <c r="F15" i="11"/>
  <c r="E15" i="11"/>
  <c r="F11" i="11"/>
  <c r="H7" i="11"/>
  <c r="H13" i="11"/>
  <c r="E14" i="11"/>
  <c r="E13" i="11"/>
  <c r="D12" i="3"/>
  <c r="C12" i="3"/>
  <c r="E12" i="11" l="1"/>
  <c r="E11" i="11"/>
  <c r="C11" i="11"/>
  <c r="E10" i="11"/>
  <c r="C10" i="11"/>
  <c r="E9" i="11"/>
  <c r="C9" i="11"/>
  <c r="E8" i="11"/>
  <c r="C8" i="11"/>
  <c r="E7" i="11"/>
  <c r="C7" i="11"/>
  <c r="E6" i="11"/>
  <c r="C6" i="11"/>
  <c r="E5" i="11"/>
  <c r="C5" i="11"/>
  <c r="E4" i="11"/>
  <c r="C4" i="11"/>
  <c r="E3" i="11"/>
  <c r="C3" i="11"/>
  <c r="H3" i="6"/>
  <c r="H2" i="6"/>
  <c r="C12" i="7"/>
  <c r="E12" i="7"/>
  <c r="F12" i="7"/>
  <c r="F4" i="11" l="1"/>
  <c r="G4" i="11" s="1"/>
  <c r="F5" i="11"/>
  <c r="G5" i="11" s="1"/>
  <c r="F6" i="11"/>
  <c r="G6" i="11" s="1"/>
  <c r="F7" i="11"/>
  <c r="G7" i="11" s="1"/>
  <c r="F13" i="11"/>
  <c r="G13" i="11" s="1"/>
  <c r="G11" i="11"/>
  <c r="F10" i="11"/>
  <c r="G10" i="11" s="1"/>
  <c r="F8" i="11"/>
  <c r="G8" i="11" s="1"/>
  <c r="F9" i="11"/>
  <c r="F12" i="11"/>
  <c r="C11" i="7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<sst xmlns="http://schemas.openxmlformats.org/spreadsheetml/2006/main" count="4369" uniqueCount="179">
  <si>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</si>
  <si>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</si>
  <si>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</si>
  <si>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</si>
  <si>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</si>
  <si>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</si>
  <si>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</si>
  <si>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</si>
  <si>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</si>
  <si>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</si>
  <si>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</si>
  <si>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</si>
  <si>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</si>
  <si>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</si>
  <si>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</si>
  <si>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</si>
  <si>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</si>
  <si>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</si>
  <si>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</si>
  <si>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</si>
  <si>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</si>
  <si>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</si>
  <si>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</si>
  <si>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</si>
  <si>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</si>
  <si>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</si>
  <si>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</si>
  <si>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</si>
  <si>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</si>
  <si>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</si>
  <si>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</si>
  <si>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</si>
  <si>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</si>
  <si>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</si>
  <si>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</si>
  <si>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</si>
  <si>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</si>
  <si>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</si>
  <si>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</si>
  <si>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</si>
  <si>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</si>
  <si>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</si>
  <si>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</si>
  <si>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</si>
  <si>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</si>
  <si>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</si>
  <si>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</si>
  <si>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</si>
  <si>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</si>
  <si>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</si>
  <si>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</si>
  <si>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</si>
  <si>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</si>
  <si>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</si>
  <si>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</si>
  <si>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</si>
  <si>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</si>
  <si>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</si>
  <si>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</si>
  <si>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</si>
  <si>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</si>
  <si>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</si>
  <si>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</si>
  <si>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</si>
  <si>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</si>
  <si>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</si>
  <si>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</si>
  <si>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</si>
  <si>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</si>
  <si>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</si>
  <si>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</si>
  <si>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</si>
  <si>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</si>
  <si>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</si>
  <si>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</si>
  <si>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</si>
  <si>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</si>
  <si>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</si>
  <si>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</si>
  <si>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</si>
  <si>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</si>
  <si>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</si>
  <si>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</si>
  <si>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</si>
  <si>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</si>
  <si>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</si>
  <si>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</si>
  <si>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</si>
  <si>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</si>
  <si>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</si>
  <si>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</si>
  <si>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</si>
  <si>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</si>
  <si>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</si>
  <si>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</si>
  <si>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</si>
  <si>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</si>
  <si>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</si>
  <si>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</si>
  <si>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</si>
  <si>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</si>
  <si>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</si>
  <si>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</si>
  <si>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</si>
  <si>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</si>
  <si>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</si>
  <si>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</si>
  <si>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</si>
  <si>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</si>
  <si>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</si>
  <si>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</si>
  <si>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</si>
  <si>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</si>
  <si>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</si>
  <si>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</si>
  <si>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</si>
  <si>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</si>
  <si>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</si>
  <si>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</si>
  <si>
    <t>Update screen</t>
  </si>
  <si>
    <t>Update Player</t>
  </si>
  <si>
    <t>RunAI</t>
  </si>
  <si>
    <t>ClrScreen</t>
  </si>
  <si>
    <t>Draw</t>
  </si>
  <si>
    <t>No Bricks</t>
  </si>
  <si>
    <t>No wallX</t>
  </si>
  <si>
    <t>All</t>
  </si>
  <si>
    <t>No Sprites</t>
  </si>
  <si>
    <t>No Gun</t>
  </si>
  <si>
    <t>Optimised Spr</t>
  </si>
  <si>
    <t>Gun sprite</t>
  </si>
  <si>
    <t>Clipped Spr</t>
  </si>
  <si>
    <t>H</t>
  </si>
  <si>
    <t>I</t>
  </si>
  <si>
    <t>J</t>
  </si>
  <si>
    <t>K</t>
  </si>
  <si>
    <t>L</t>
  </si>
  <si>
    <t>M</t>
  </si>
  <si>
    <t>O</t>
  </si>
  <si>
    <t>Q</t>
  </si>
  <si>
    <t>R</t>
  </si>
  <si>
    <t>T</t>
  </si>
  <si>
    <t>U</t>
  </si>
  <si>
    <t>Z</t>
  </si>
  <si>
    <t>MP5 Pickup</t>
  </si>
  <si>
    <t>AK47 Pickup</t>
  </si>
  <si>
    <t>M249 Pickup</t>
  </si>
  <si>
    <t>? Pickup</t>
  </si>
  <si>
    <t>Keycard Pickup</t>
  </si>
  <si>
    <t>Locked Door</t>
  </si>
  <si>
    <t>Pickups</t>
  </si>
  <si>
    <t>SOLID (default)</t>
  </si>
  <si>
    <t>DARK</t>
  </si>
  <si>
    <t>WINDOW</t>
  </si>
  <si>
    <t>ARCH</t>
  </si>
  <si>
    <t>UNLOCKED_DOOR</t>
  </si>
  <si>
    <t>BARS</t>
  </si>
  <si>
    <t>VOID</t>
  </si>
  <si>
    <t>LOCKED_DOOR</t>
  </si>
  <si>
    <t>!</t>
  </si>
  <si>
    <t>SIGN</t>
  </si>
  <si>
    <t>*</t>
  </si>
  <si>
    <t>LIGHT</t>
  </si>
  <si>
    <t>:</t>
  </si>
  <si>
    <t>PIPES</t>
  </si>
  <si>
    <t>#</t>
  </si>
  <si>
    <t>SHELF</t>
  </si>
  <si>
    <t>LOW</t>
  </si>
  <si>
    <t>|</t>
  </si>
  <si>
    <t>PILLAR</t>
  </si>
  <si>
    <t>SWITCH</t>
  </si>
  <si>
    <t>SHOOTABLE</t>
  </si>
  <si>
    <t>Decorations</t>
  </si>
  <si>
    <t>Camera</t>
  </si>
  <si>
    <t>Computer</t>
  </si>
  <si>
    <t>Reserved</t>
  </si>
  <si>
    <t>ID</t>
  </si>
  <si>
    <t>Map</t>
  </si>
  <si>
    <t>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</si>
</sst>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  <font>
      <b/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2" fontId="0" fillId="0" borderId="0" xfId="0" applyNumberFormat="1"/>
    <xf numFmtId="165" fontId="0" fillId="0" borderId="0" xfId="0" applyNumberFormat="1"/>
    <xf numFmtId="0" fontId="0" fillId="2" borderId="0" xfId="0" applyFill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1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X17"/>
  <sheetViews>
    <sheetView topLeftCell="B1" workbookViewId="0">
      <selection activeCell="H1" sqref="H1:H16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6.85546875" bestFit="1" customWidth="1"/>
    <col min="11" max="11" width="12.140625" bestFit="1" customWidth="1"/>
    <col min="12" max="12" width="2.5703125" bestFit="1" customWidth="1"/>
    <col min="13" max="13" width="3" bestFit="1" customWidth="1"/>
    <col min="14" max="14" width="10.140625" bestFit="1" customWidth="1"/>
    <col min="18" max="18" width="2.5703125" bestFit="1" customWidth="1"/>
    <col min="19" max="19" width="14.5703125" bestFit="1" customWidth="1"/>
    <col min="21" max="21" width="11.7109375" bestFit="1" customWidth="1"/>
    <col min="22" max="22" width="3" bestFit="1" customWidth="1"/>
    <col min="23" max="23" width="4.85546875" bestFit="1" customWidth="1"/>
    <col min="24" max="24" width="9.5703125" bestFit="1" customWidth="1"/>
  </cols>
  <sheetData>
    <row r="1" spans="1:24" ht="16.5" x14ac:dyDescent="0.25">
      <c r="A1" t="s">
        <v>32</v>
      </c>
      <c r="B1" t="s">
        <v>7</v>
      </c>
      <c r="F1" t="s">
        <v>93</v>
      </c>
      <c r="G1">
        <v>0</v>
      </c>
      <c r="H1" t="s">
        <v>0</v>
      </c>
      <c r="I1" t="s">
        <v>151</v>
      </c>
      <c r="K1" t="s">
        <v>94</v>
      </c>
      <c r="L1" s="3" t="s">
        <v>58</v>
      </c>
      <c r="M1">
        <v>0</v>
      </c>
      <c r="N1" t="s">
        <v>61</v>
      </c>
      <c r="P1" t="s">
        <v>150</v>
      </c>
      <c r="Q1">
        <v>0</v>
      </c>
      <c r="R1" s="3" t="s">
        <v>132</v>
      </c>
      <c r="S1" t="s">
        <v>144</v>
      </c>
      <c r="V1" t="s">
        <v>176</v>
      </c>
      <c r="W1" t="s">
        <v>177</v>
      </c>
      <c r="X1" t="s">
        <v>178</v>
      </c>
    </row>
    <row r="2" spans="1:24" ht="16.5" x14ac:dyDescent="0.25">
      <c r="A2">
        <v>15</v>
      </c>
      <c r="B2" t="s">
        <v>28</v>
      </c>
      <c r="C2" t="s">
        <v>33</v>
      </c>
      <c r="G2">
        <v>1</v>
      </c>
      <c r="H2" t="s">
        <v>4</v>
      </c>
      <c r="I2" t="s">
        <v>152</v>
      </c>
      <c r="L2" s="3" t="s">
        <v>59</v>
      </c>
      <c r="M2">
        <v>1</v>
      </c>
      <c r="N2" t="s">
        <v>79</v>
      </c>
      <c r="Q2">
        <v>1</v>
      </c>
      <c r="R2" s="3" t="s">
        <v>133</v>
      </c>
      <c r="S2" t="s">
        <v>145</v>
      </c>
      <c r="U2" t="s">
        <v>172</v>
      </c>
      <c r="V2">
        <v>0</v>
      </c>
      <c r="W2">
        <v>1</v>
      </c>
      <c r="X2" t="s">
        <v>173</v>
      </c>
    </row>
    <row r="3" spans="1:24" ht="16.5" x14ac:dyDescent="0.25">
      <c r="A3">
        <v>14</v>
      </c>
      <c r="B3" t="s">
        <v>23</v>
      </c>
      <c r="C3" t="s">
        <v>35</v>
      </c>
      <c r="G3">
        <v>2</v>
      </c>
      <c r="H3" t="s">
        <v>1</v>
      </c>
      <c r="I3" t="s">
        <v>153</v>
      </c>
      <c r="L3" s="3" t="s">
        <v>60</v>
      </c>
      <c r="M3">
        <v>2</v>
      </c>
      <c r="N3" t="s">
        <v>95</v>
      </c>
      <c r="Q3">
        <v>2</v>
      </c>
      <c r="R3" s="3" t="s">
        <v>134</v>
      </c>
      <c r="S3" t="s">
        <v>146</v>
      </c>
      <c r="V3">
        <v>1</v>
      </c>
      <c r="W3">
        <v>2</v>
      </c>
      <c r="X3" t="s">
        <v>174</v>
      </c>
    </row>
    <row r="4" spans="1:24" ht="16.5" x14ac:dyDescent="0.25">
      <c r="A4">
        <v>13</v>
      </c>
      <c r="B4" t="s">
        <v>26</v>
      </c>
      <c r="C4" t="s">
        <v>37</v>
      </c>
      <c r="G4">
        <v>3</v>
      </c>
      <c r="H4" t="s">
        <v>2</v>
      </c>
      <c r="I4" t="s">
        <v>154</v>
      </c>
      <c r="L4" s="3" t="s">
        <v>45</v>
      </c>
      <c r="M4">
        <v>3</v>
      </c>
      <c r="N4" t="s">
        <v>81</v>
      </c>
      <c r="Q4">
        <v>3</v>
      </c>
      <c r="R4" s="3" t="s">
        <v>135</v>
      </c>
      <c r="S4" t="s">
        <v>148</v>
      </c>
      <c r="V4">
        <v>2</v>
      </c>
      <c r="W4">
        <v>3</v>
      </c>
      <c r="X4" t="s">
        <v>175</v>
      </c>
    </row>
    <row r="5" spans="1:24" ht="16.5" x14ac:dyDescent="0.25">
      <c r="A5">
        <v>12</v>
      </c>
      <c r="B5" t="s">
        <v>30</v>
      </c>
      <c r="C5" t="s">
        <v>34</v>
      </c>
      <c r="G5">
        <v>4</v>
      </c>
      <c r="H5" t="s">
        <v>3</v>
      </c>
      <c r="I5" t="s">
        <v>155</v>
      </c>
      <c r="M5">
        <v>4</v>
      </c>
      <c r="Q5">
        <v>4</v>
      </c>
      <c r="R5" s="3" t="s">
        <v>136</v>
      </c>
      <c r="V5">
        <v>3</v>
      </c>
      <c r="W5">
        <v>4</v>
      </c>
      <c r="X5" t="s">
        <v>175</v>
      </c>
    </row>
    <row r="6" spans="1:24" ht="16.5" x14ac:dyDescent="0.25">
      <c r="A6">
        <v>11</v>
      </c>
      <c r="B6" t="s">
        <v>86</v>
      </c>
      <c r="C6" t="s">
        <v>87</v>
      </c>
      <c r="G6">
        <v>5</v>
      </c>
      <c r="H6" t="s">
        <v>5</v>
      </c>
      <c r="I6" t="s">
        <v>171</v>
      </c>
      <c r="M6">
        <v>5</v>
      </c>
      <c r="Q6">
        <v>5</v>
      </c>
      <c r="R6" s="3" t="s">
        <v>137</v>
      </c>
      <c r="V6">
        <v>4</v>
      </c>
      <c r="W6">
        <v>5</v>
      </c>
      <c r="X6" t="s">
        <v>175</v>
      </c>
    </row>
    <row r="7" spans="1:24" ht="16.5" x14ac:dyDescent="0.25">
      <c r="A7">
        <v>10</v>
      </c>
      <c r="B7" t="s">
        <v>29</v>
      </c>
      <c r="C7" t="s">
        <v>36</v>
      </c>
      <c r="G7">
        <v>6</v>
      </c>
      <c r="H7" t="s">
        <v>19</v>
      </c>
      <c r="I7" t="s">
        <v>156</v>
      </c>
      <c r="M7">
        <v>6</v>
      </c>
      <c r="Q7">
        <v>6</v>
      </c>
      <c r="R7" s="3" t="s">
        <v>24</v>
      </c>
      <c r="V7">
        <v>5</v>
      </c>
      <c r="W7">
        <v>6</v>
      </c>
      <c r="X7" t="s">
        <v>175</v>
      </c>
    </row>
    <row r="8" spans="1:24" ht="16.5" x14ac:dyDescent="0.25">
      <c r="A8">
        <v>9</v>
      </c>
      <c r="B8" s="13" t="s">
        <v>6</v>
      </c>
      <c r="G8">
        <v>7</v>
      </c>
      <c r="H8" t="s">
        <v>21</v>
      </c>
      <c r="I8" t="s">
        <v>157</v>
      </c>
      <c r="M8">
        <v>7</v>
      </c>
      <c r="Q8">
        <v>7</v>
      </c>
      <c r="R8" s="3" t="s">
        <v>138</v>
      </c>
      <c r="V8">
        <v>6</v>
      </c>
      <c r="W8">
        <v>7</v>
      </c>
      <c r="X8" t="s">
        <v>175</v>
      </c>
    </row>
    <row r="9" spans="1:24" x14ac:dyDescent="0.25">
      <c r="A9">
        <v>8</v>
      </c>
      <c r="B9" s="13"/>
      <c r="G9">
        <v>8</v>
      </c>
      <c r="H9" t="s">
        <v>141</v>
      </c>
      <c r="I9" t="s">
        <v>158</v>
      </c>
      <c r="M9">
        <v>8</v>
      </c>
      <c r="Q9">
        <v>8</v>
      </c>
      <c r="V9">
        <v>7</v>
      </c>
      <c r="W9">
        <v>8</v>
      </c>
      <c r="X9" t="s">
        <v>175</v>
      </c>
    </row>
    <row r="10" spans="1:24" x14ac:dyDescent="0.25">
      <c r="A10">
        <v>7</v>
      </c>
      <c r="B10" s="13"/>
      <c r="C10" s="6"/>
      <c r="G10">
        <v>9</v>
      </c>
      <c r="H10" t="s">
        <v>159</v>
      </c>
      <c r="I10" t="s">
        <v>160</v>
      </c>
      <c r="M10">
        <v>9</v>
      </c>
      <c r="Q10">
        <v>9</v>
      </c>
      <c r="V10">
        <v>8</v>
      </c>
    </row>
    <row r="11" spans="1:24" x14ac:dyDescent="0.25">
      <c r="A11">
        <v>6</v>
      </c>
      <c r="B11" s="13"/>
      <c r="C11" s="6"/>
      <c r="G11">
        <v>10</v>
      </c>
      <c r="H11" t="s">
        <v>161</v>
      </c>
      <c r="I11" t="s">
        <v>162</v>
      </c>
      <c r="M11">
        <v>10</v>
      </c>
      <c r="Q11">
        <v>10</v>
      </c>
      <c r="V11">
        <v>9</v>
      </c>
    </row>
    <row r="12" spans="1:24" x14ac:dyDescent="0.25">
      <c r="A12">
        <v>5</v>
      </c>
      <c r="B12" s="13" t="s">
        <v>31</v>
      </c>
      <c r="C12" s="6"/>
      <c r="G12">
        <v>11</v>
      </c>
      <c r="H12" t="s">
        <v>163</v>
      </c>
      <c r="I12" t="s">
        <v>164</v>
      </c>
      <c r="M12">
        <v>11</v>
      </c>
      <c r="Q12">
        <v>11</v>
      </c>
      <c r="V12">
        <v>10</v>
      </c>
    </row>
    <row r="13" spans="1:24" x14ac:dyDescent="0.25">
      <c r="A13">
        <v>4</v>
      </c>
      <c r="B13" s="13"/>
      <c r="C13" s="6"/>
      <c r="G13">
        <v>12</v>
      </c>
      <c r="H13" t="s">
        <v>165</v>
      </c>
      <c r="I13" t="s">
        <v>166</v>
      </c>
      <c r="M13">
        <v>12</v>
      </c>
      <c r="Q13">
        <v>12</v>
      </c>
      <c r="V13">
        <v>11</v>
      </c>
    </row>
    <row r="14" spans="1:24" x14ac:dyDescent="0.25">
      <c r="A14">
        <v>3</v>
      </c>
      <c r="B14" s="13"/>
      <c r="C14" s="6"/>
      <c r="G14">
        <v>13</v>
      </c>
      <c r="H14" t="s">
        <v>140</v>
      </c>
      <c r="I14" t="s">
        <v>167</v>
      </c>
      <c r="M14">
        <v>13</v>
      </c>
      <c r="Q14">
        <v>13</v>
      </c>
      <c r="V14">
        <v>12</v>
      </c>
    </row>
    <row r="15" spans="1:24" x14ac:dyDescent="0.25">
      <c r="A15">
        <v>2</v>
      </c>
      <c r="B15" s="13"/>
      <c r="C15" s="6"/>
      <c r="G15">
        <v>14</v>
      </c>
      <c r="H15" t="s">
        <v>168</v>
      </c>
      <c r="I15" t="s">
        <v>169</v>
      </c>
      <c r="M15">
        <v>14</v>
      </c>
      <c r="Q15">
        <v>14</v>
      </c>
      <c r="V15">
        <v>13</v>
      </c>
    </row>
    <row r="16" spans="1:24" x14ac:dyDescent="0.25">
      <c r="A16">
        <v>1</v>
      </c>
      <c r="B16" s="13"/>
      <c r="C16" s="6"/>
      <c r="G16">
        <v>15</v>
      </c>
      <c r="H16" t="s">
        <v>142</v>
      </c>
      <c r="I16" t="s">
        <v>170</v>
      </c>
      <c r="M16">
        <v>15</v>
      </c>
      <c r="Q16">
        <v>15</v>
      </c>
      <c r="V16">
        <v>14</v>
      </c>
    </row>
    <row r="17" spans="1:22" x14ac:dyDescent="0.25">
      <c r="A17">
        <v>0</v>
      </c>
      <c r="B17" s="13"/>
      <c r="C17" s="6"/>
      <c r="V17">
        <v>15</v>
      </c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9" sqref="B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98</v>
      </c>
      <c r="E3" t="s">
        <v>99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100</v>
      </c>
      <c r="E6" t="s">
        <v>99</v>
      </c>
      <c r="F6" t="s">
        <v>101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102</v>
      </c>
      <c r="E8" t="s">
        <v>103</v>
      </c>
      <c r="F8" t="s">
        <v>105</v>
      </c>
    </row>
    <row r="9" spans="1:6" x14ac:dyDescent="0.25">
      <c r="A9">
        <v>7</v>
      </c>
      <c r="B9" t="s">
        <v>71</v>
      </c>
      <c r="D9" t="s">
        <v>104</v>
      </c>
      <c r="E9" t="s">
        <v>106</v>
      </c>
      <c r="F9" t="s">
        <v>107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M42"/>
  <sheetViews>
    <sheetView workbookViewId="0">
      <selection activeCell="A17" sqref="A17"/>
    </sheetView>
  </sheetViews>
  <sheetFormatPr defaultRowHeight="16.5" x14ac:dyDescent="0.25"/>
  <cols>
    <col min="1" max="1" width="6.42578125" style="3" bestFit="1" customWidth="1"/>
    <col min="2" max="2" width="16.42578125" bestFit="1" customWidth="1"/>
    <col min="13" max="13" width="2.140625" bestFit="1" customWidth="1"/>
  </cols>
  <sheetData>
    <row r="1" spans="1:13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  <c r="M1" t="s">
        <v>2</v>
      </c>
    </row>
    <row r="2" spans="1:13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  <c r="M2" s="10" t="s">
        <v>19</v>
      </c>
    </row>
    <row r="3" spans="1:13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  <c r="M3" s="10" t="s">
        <v>45</v>
      </c>
    </row>
    <row r="4" spans="1:13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  <c r="M4" s="10" t="s">
        <v>3</v>
      </c>
    </row>
    <row r="5" spans="1:13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  <c r="M5" s="10" t="s">
        <v>58</v>
      </c>
    </row>
    <row r="6" spans="1:13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  <c r="M6" s="10" t="s">
        <v>59</v>
      </c>
    </row>
    <row r="7" spans="1:13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  <c r="M7" s="10" t="s">
        <v>60</v>
      </c>
    </row>
    <row r="8" spans="1:13" x14ac:dyDescent="0.25">
      <c r="A8" s="3" t="s">
        <v>141</v>
      </c>
      <c r="B8" t="s">
        <v>149</v>
      </c>
      <c r="C8" t="s">
        <v>24</v>
      </c>
      <c r="D8" t="s">
        <v>25</v>
      </c>
      <c r="E8" t="s">
        <v>24</v>
      </c>
      <c r="F8" t="s">
        <v>24</v>
      </c>
      <c r="G8" t="s">
        <v>24</v>
      </c>
      <c r="M8" s="10" t="s">
        <v>132</v>
      </c>
    </row>
    <row r="9" spans="1:13" x14ac:dyDescent="0.25">
      <c r="A9" s="3" t="s">
        <v>5</v>
      </c>
      <c r="B9" t="s">
        <v>13</v>
      </c>
      <c r="C9" t="s">
        <v>25</v>
      </c>
      <c r="D9" t="s">
        <v>25</v>
      </c>
      <c r="E9" t="s">
        <v>24</v>
      </c>
      <c r="F9" t="s">
        <v>24</v>
      </c>
      <c r="G9" t="s">
        <v>24</v>
      </c>
      <c r="M9" s="10" t="s">
        <v>133</v>
      </c>
    </row>
    <row r="10" spans="1:13" x14ac:dyDescent="0.25">
      <c r="A10" s="11" t="s">
        <v>19</v>
      </c>
      <c r="B10" t="s">
        <v>20</v>
      </c>
      <c r="C10" t="s">
        <v>24</v>
      </c>
      <c r="D10" t="s">
        <v>25</v>
      </c>
      <c r="E10" t="s">
        <v>24</v>
      </c>
      <c r="F10" t="s">
        <v>24</v>
      </c>
      <c r="G10" t="s">
        <v>24</v>
      </c>
      <c r="M10" s="10" t="s">
        <v>134</v>
      </c>
    </row>
    <row r="11" spans="1:13" x14ac:dyDescent="0.25">
      <c r="A11" s="11" t="s">
        <v>21</v>
      </c>
      <c r="B11" t="s">
        <v>22</v>
      </c>
      <c r="C11" t="s">
        <v>25</v>
      </c>
      <c r="D11" t="s">
        <v>25</v>
      </c>
      <c r="E11" t="s">
        <v>24</v>
      </c>
      <c r="F11" t="s">
        <v>24</v>
      </c>
      <c r="G11" t="s">
        <v>24</v>
      </c>
      <c r="M11" s="10" t="s">
        <v>135</v>
      </c>
    </row>
    <row r="12" spans="1:13" ht="15" x14ac:dyDescent="0.25">
      <c r="A12" s="12" t="s">
        <v>159</v>
      </c>
      <c r="B12" t="s">
        <v>160</v>
      </c>
      <c r="C12" t="s">
        <v>25</v>
      </c>
      <c r="D12" t="s">
        <v>25</v>
      </c>
      <c r="E12" t="s">
        <v>25</v>
      </c>
      <c r="F12" t="s">
        <v>24</v>
      </c>
      <c r="G12" t="s">
        <v>24</v>
      </c>
      <c r="M12" s="10" t="s">
        <v>136</v>
      </c>
    </row>
    <row r="13" spans="1:13" ht="15" x14ac:dyDescent="0.25">
      <c r="A13" s="12" t="s">
        <v>161</v>
      </c>
      <c r="B13" t="s">
        <v>162</v>
      </c>
      <c r="C13" t="s">
        <v>25</v>
      </c>
      <c r="D13" t="s">
        <v>25</v>
      </c>
      <c r="E13" t="s">
        <v>25</v>
      </c>
      <c r="F13" t="s">
        <v>24</v>
      </c>
      <c r="G13" t="s">
        <v>24</v>
      </c>
      <c r="M13" s="10" t="s">
        <v>137</v>
      </c>
    </row>
    <row r="14" spans="1:13" ht="15" x14ac:dyDescent="0.25">
      <c r="A14" s="12" t="s">
        <v>163</v>
      </c>
      <c r="B14" t="s">
        <v>164</v>
      </c>
      <c r="C14" t="s">
        <v>25</v>
      </c>
      <c r="D14" t="s">
        <v>25</v>
      </c>
      <c r="E14" t="s">
        <v>25</v>
      </c>
      <c r="F14" t="s">
        <v>24</v>
      </c>
      <c r="G14" t="s">
        <v>24</v>
      </c>
      <c r="M14" s="10" t="s">
        <v>24</v>
      </c>
    </row>
    <row r="15" spans="1:13" ht="15" x14ac:dyDescent="0.25">
      <c r="A15" s="12" t="s">
        <v>165</v>
      </c>
      <c r="B15" t="s">
        <v>166</v>
      </c>
      <c r="C15" t="s">
        <v>25</v>
      </c>
      <c r="D15" t="s">
        <v>25</v>
      </c>
      <c r="E15" t="s">
        <v>25</v>
      </c>
      <c r="F15" t="s">
        <v>24</v>
      </c>
      <c r="G15" t="s">
        <v>24</v>
      </c>
      <c r="M15" s="10" t="s">
        <v>138</v>
      </c>
    </row>
    <row r="16" spans="1:13" ht="15" x14ac:dyDescent="0.25">
      <c r="A16" s="12" t="s">
        <v>140</v>
      </c>
      <c r="B16" t="s">
        <v>167</v>
      </c>
      <c r="C16" t="s">
        <v>24</v>
      </c>
      <c r="D16" t="s">
        <v>25</v>
      </c>
      <c r="E16" t="s">
        <v>24</v>
      </c>
      <c r="F16" t="s">
        <v>24</v>
      </c>
      <c r="G16" t="s">
        <v>24</v>
      </c>
      <c r="M16" s="10" t="s">
        <v>4</v>
      </c>
    </row>
    <row r="17" spans="1:13" ht="15" x14ac:dyDescent="0.25">
      <c r="A17" s="12" t="s">
        <v>168</v>
      </c>
      <c r="B17" t="s">
        <v>169</v>
      </c>
      <c r="C17" t="s">
        <v>24</v>
      </c>
      <c r="D17" t="s">
        <v>25</v>
      </c>
      <c r="E17" t="s">
        <v>24</v>
      </c>
      <c r="F17" t="s">
        <v>24</v>
      </c>
      <c r="G17" t="s">
        <v>24</v>
      </c>
      <c r="M17" t="s">
        <v>139</v>
      </c>
    </row>
    <row r="18" spans="1:13" ht="15" x14ac:dyDescent="0.25">
      <c r="A18" s="12" t="s">
        <v>142</v>
      </c>
      <c r="B18" t="s">
        <v>170</v>
      </c>
      <c r="C18" t="s">
        <v>25</v>
      </c>
      <c r="D18" t="s">
        <v>25</v>
      </c>
      <c r="E18" t="s">
        <v>25</v>
      </c>
      <c r="F18" t="s">
        <v>24</v>
      </c>
      <c r="G18" t="s">
        <v>24</v>
      </c>
      <c r="M18" t="s">
        <v>140</v>
      </c>
    </row>
    <row r="19" spans="1:13" x14ac:dyDescent="0.25">
      <c r="M19" s="10" t="s">
        <v>5</v>
      </c>
    </row>
    <row r="20" spans="1:13" x14ac:dyDescent="0.25">
      <c r="A20" s="3" t="s">
        <v>58</v>
      </c>
      <c r="B20" t="s">
        <v>90</v>
      </c>
      <c r="C20" t="s">
        <v>24</v>
      </c>
      <c r="D20" t="s">
        <v>24</v>
      </c>
      <c r="E20" t="s">
        <v>25</v>
      </c>
      <c r="F20" t="s">
        <v>25</v>
      </c>
      <c r="G20" t="s">
        <v>25</v>
      </c>
      <c r="M20" t="s">
        <v>142</v>
      </c>
    </row>
    <row r="21" spans="1:13" x14ac:dyDescent="0.25">
      <c r="A21" s="3" t="s">
        <v>59</v>
      </c>
      <c r="B21" t="s">
        <v>91</v>
      </c>
      <c r="C21" t="s">
        <v>24</v>
      </c>
      <c r="D21" t="s">
        <v>24</v>
      </c>
      <c r="E21" t="s">
        <v>25</v>
      </c>
      <c r="F21" t="s">
        <v>25</v>
      </c>
      <c r="G21" t="s">
        <v>25</v>
      </c>
      <c r="M21" s="10" t="s">
        <v>21</v>
      </c>
    </row>
    <row r="22" spans="1:13" x14ac:dyDescent="0.25">
      <c r="A22" s="3" t="s">
        <v>60</v>
      </c>
      <c r="B22" t="s">
        <v>92</v>
      </c>
      <c r="C22" t="s">
        <v>24</v>
      </c>
      <c r="D22" t="s">
        <v>24</v>
      </c>
      <c r="E22" t="s">
        <v>25</v>
      </c>
      <c r="F22" t="s">
        <v>25</v>
      </c>
      <c r="G22" t="s">
        <v>25</v>
      </c>
      <c r="M22" s="10" t="s">
        <v>1</v>
      </c>
    </row>
    <row r="23" spans="1:13" x14ac:dyDescent="0.25">
      <c r="A23" s="3" t="s">
        <v>45</v>
      </c>
      <c r="B23" t="s">
        <v>61</v>
      </c>
      <c r="C23" t="s">
        <v>24</v>
      </c>
      <c r="D23" t="s">
        <v>24</v>
      </c>
      <c r="E23" t="s">
        <v>25</v>
      </c>
      <c r="F23" t="s">
        <v>25</v>
      </c>
      <c r="G23" t="s">
        <v>25</v>
      </c>
      <c r="M23" s="10" t="s">
        <v>0</v>
      </c>
    </row>
    <row r="24" spans="1:13" x14ac:dyDescent="0.25">
      <c r="M24" t="s">
        <v>25</v>
      </c>
    </row>
    <row r="25" spans="1:13" x14ac:dyDescent="0.25">
      <c r="A25" s="3" t="s">
        <v>132</v>
      </c>
      <c r="B25" t="s">
        <v>144</v>
      </c>
      <c r="C25" t="s">
        <v>24</v>
      </c>
      <c r="D25" t="s">
        <v>24</v>
      </c>
      <c r="E25" t="s">
        <v>25</v>
      </c>
      <c r="F25" t="s">
        <v>25</v>
      </c>
      <c r="G25" t="s">
        <v>24</v>
      </c>
      <c r="M25" t="s">
        <v>143</v>
      </c>
    </row>
    <row r="26" spans="1:13" x14ac:dyDescent="0.25">
      <c r="A26" s="3" t="s">
        <v>133</v>
      </c>
      <c r="B26" t="s">
        <v>145</v>
      </c>
      <c r="C26" t="s">
        <v>24</v>
      </c>
      <c r="D26" t="s">
        <v>24</v>
      </c>
      <c r="E26" t="s">
        <v>25</v>
      </c>
      <c r="F26" t="s">
        <v>25</v>
      </c>
      <c r="G26" t="s">
        <v>24</v>
      </c>
      <c r="M26" s="10">
        <v>0</v>
      </c>
    </row>
    <row r="27" spans="1:13" x14ac:dyDescent="0.25">
      <c r="A27" s="3" t="s">
        <v>134</v>
      </c>
      <c r="B27" t="s">
        <v>146</v>
      </c>
      <c r="C27" t="s">
        <v>24</v>
      </c>
      <c r="D27" t="s">
        <v>24</v>
      </c>
      <c r="E27" t="s">
        <v>25</v>
      </c>
      <c r="F27" t="s">
        <v>25</v>
      </c>
      <c r="G27" t="s">
        <v>24</v>
      </c>
      <c r="M27">
        <v>1</v>
      </c>
    </row>
    <row r="28" spans="1:13" x14ac:dyDescent="0.25">
      <c r="A28" s="3" t="s">
        <v>135</v>
      </c>
      <c r="B28" t="s">
        <v>148</v>
      </c>
      <c r="C28" t="s">
        <v>24</v>
      </c>
      <c r="D28" t="s">
        <v>24</v>
      </c>
      <c r="E28" t="s">
        <v>25</v>
      </c>
      <c r="F28" t="s">
        <v>25</v>
      </c>
      <c r="G28" t="s">
        <v>24</v>
      </c>
      <c r="M28">
        <v>2</v>
      </c>
    </row>
    <row r="29" spans="1:13" x14ac:dyDescent="0.25">
      <c r="A29" s="3" t="s">
        <v>136</v>
      </c>
      <c r="B29" t="s">
        <v>147</v>
      </c>
      <c r="C29" t="s">
        <v>24</v>
      </c>
      <c r="D29" t="s">
        <v>24</v>
      </c>
      <c r="E29" t="s">
        <v>25</v>
      </c>
      <c r="F29" t="s">
        <v>25</v>
      </c>
      <c r="G29" t="s">
        <v>24</v>
      </c>
      <c r="M29">
        <v>3</v>
      </c>
    </row>
    <row r="30" spans="1:13" x14ac:dyDescent="0.25">
      <c r="A30" s="3" t="s">
        <v>137</v>
      </c>
      <c r="B30" t="s">
        <v>147</v>
      </c>
      <c r="C30" t="s">
        <v>24</v>
      </c>
      <c r="D30" t="s">
        <v>24</v>
      </c>
      <c r="E30" t="s">
        <v>25</v>
      </c>
      <c r="F30" t="s">
        <v>25</v>
      </c>
      <c r="G30" t="s">
        <v>24</v>
      </c>
      <c r="M30">
        <v>4</v>
      </c>
    </row>
    <row r="31" spans="1:13" x14ac:dyDescent="0.25">
      <c r="A31" s="3" t="s">
        <v>24</v>
      </c>
      <c r="B31" t="s">
        <v>147</v>
      </c>
      <c r="C31" t="s">
        <v>24</v>
      </c>
      <c r="D31" t="s">
        <v>24</v>
      </c>
      <c r="E31" t="s">
        <v>25</v>
      </c>
      <c r="F31" t="s">
        <v>25</v>
      </c>
      <c r="G31" t="s">
        <v>24</v>
      </c>
      <c r="M31">
        <v>5</v>
      </c>
    </row>
    <row r="32" spans="1:13" x14ac:dyDescent="0.25">
      <c r="A32" s="3" t="s">
        <v>138</v>
      </c>
      <c r="B32" t="s">
        <v>147</v>
      </c>
      <c r="C32" t="s">
        <v>24</v>
      </c>
      <c r="D32" t="s">
        <v>24</v>
      </c>
      <c r="E32" t="s">
        <v>25</v>
      </c>
      <c r="F32" t="s">
        <v>25</v>
      </c>
      <c r="G32" t="s">
        <v>24</v>
      </c>
      <c r="M32">
        <v>6</v>
      </c>
    </row>
    <row r="33" spans="1:13" x14ac:dyDescent="0.25">
      <c r="M33">
        <v>7</v>
      </c>
    </row>
    <row r="34" spans="1:13" ht="15" x14ac:dyDescent="0.25">
      <c r="A34"/>
      <c r="M34">
        <v>8</v>
      </c>
    </row>
    <row r="35" spans="1:13" ht="15" x14ac:dyDescent="0.25">
      <c r="A35"/>
      <c r="M35">
        <v>9</v>
      </c>
    </row>
    <row r="36" spans="1:13" ht="15" x14ac:dyDescent="0.25">
      <c r="A36"/>
    </row>
    <row r="37" spans="1:13" ht="15" x14ac:dyDescent="0.25">
      <c r="A37"/>
    </row>
    <row r="38" spans="1:13" ht="15" x14ac:dyDescent="0.25">
      <c r="A38"/>
    </row>
    <row r="39" spans="1:13" ht="15" x14ac:dyDescent="0.25">
      <c r="A39"/>
    </row>
    <row r="40" spans="1:13" ht="15" x14ac:dyDescent="0.25">
      <c r="A40"/>
    </row>
    <row r="41" spans="1:13" ht="15" x14ac:dyDescent="0.25">
      <c r="A41"/>
    </row>
    <row r="42" spans="1:13" ht="15" x14ac:dyDescent="0.25">
      <c r="A4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108</v>
      </c>
      <c r="B1" t="s">
        <v>113</v>
      </c>
    </row>
    <row r="2" spans="1:2" x14ac:dyDescent="0.25">
      <c r="A2" t="s">
        <v>109</v>
      </c>
      <c r="B2" t="s">
        <v>79</v>
      </c>
    </row>
    <row r="3" spans="1:2" x14ac:dyDescent="0.25">
      <c r="A3" t="s">
        <v>110</v>
      </c>
      <c r="B3" t="s">
        <v>112</v>
      </c>
    </row>
    <row r="4" spans="1:2" x14ac:dyDescent="0.25">
      <c r="A4" t="s">
        <v>111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tabSelected="1" zoomScaleNormal="100" workbookViewId="0">
      <selection activeCell="AO7" sqref="AO7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t="s">
        <v>21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>_xlfn.TEXTJOIN("",TRUE,A2:BL2)</f>
        <v>XXXXXXXXXV000000000000000000000D0C00A00A00XXXXXXXXXXXXXXXXXXXXXX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142</v>
      </c>
      <c r="L3" s="2" t="s">
        <v>168</v>
      </c>
      <c r="M3" s="2" t="s">
        <v>140</v>
      </c>
      <c r="N3" s="2" t="s">
        <v>165</v>
      </c>
      <c r="O3" s="2" t="s">
        <v>163</v>
      </c>
      <c r="P3" s="2" t="s">
        <v>161</v>
      </c>
      <c r="Q3" s="2" t="s">
        <v>159</v>
      </c>
      <c r="R3" s="2" t="s">
        <v>19</v>
      </c>
      <c r="S3" s="2" t="s">
        <v>19</v>
      </c>
      <c r="T3" s="2" t="s">
        <v>5</v>
      </c>
      <c r="U3" s="2" t="s">
        <v>1</v>
      </c>
      <c r="V3" s="2" t="s">
        <v>1</v>
      </c>
      <c r="W3" s="2" t="s">
        <v>4</v>
      </c>
      <c r="X3" s="2" t="s">
        <v>4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ref="BM3:BM64" si="0">_xlfn.TEXTJOIN("",TRUE,A3:BL3)</f>
        <v>XXXXXXXXXXU|R#:*!BBSWWPPXXXAXBXXXSXXXXXXX0XXXXXXXXXXXXXXXXXXXXXX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XXXXXXXXXX00000000000000000000XXX0XXXXX00000XXXXXXXXXXXXXXXXXXXX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>
        <v>0</v>
      </c>
      <c r="AO5" s="2">
        <v>0</v>
      </c>
      <c r="AP5" s="12" t="s">
        <v>168</v>
      </c>
      <c r="AQ5" s="2">
        <v>0</v>
      </c>
      <c r="AR5" s="2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XXXXXXXXXXXXXXXXXXXXXXXXX0E0F0XXXSXXXXX00|00XXXXXXXXXXXXXXXXXXXX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XXXXXXXXXXXXXXXXXXX00000D00000D0A00XXXX00000XXXXXXXXXXXXXXXXXXXX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1</v>
      </c>
      <c r="AA7" s="2">
        <v>0</v>
      </c>
      <c r="AB7" s="2" t="s">
        <v>60</v>
      </c>
      <c r="AC7" s="2">
        <v>0</v>
      </c>
      <c r="AD7" s="2">
        <v>2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>
        <v>0</v>
      </c>
      <c r="AO7" s="2">
        <v>0</v>
      </c>
      <c r="AP7" s="12" t="s">
        <v>168</v>
      </c>
      <c r="AQ7" s="2">
        <v>0</v>
      </c>
      <c r="AR7" s="2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XXXXXXXXXXXXXXXXXXXXXX0XX10G02XXXX0XXXX00|00XXXXXXXXXXXXXXXXXXXX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XXXXXXXXXXXXXXXXXXXXXX0XXXX0XXXXXXAXXXX00000XXXXXXXXXXXXXXXXXXXX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>
        <v>0</v>
      </c>
      <c r="AO9" s="2">
        <v>0</v>
      </c>
      <c r="AP9" s="12" t="s">
        <v>168</v>
      </c>
      <c r="AQ9" s="2">
        <v>0</v>
      </c>
      <c r="AR9" s="2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XXXXXXXXXXXXXXXXXXXXXX0XXXXDXXXXXX0XXXX00|00XXXXXXXXXXXXXXXXXXXX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XXXXXXXXXXXXXXXXXXXXXXAXXXX0XXXXXX0XXXX00000XXXXXXXXXXXXXXXXXXXX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>
        <v>0</v>
      </c>
      <c r="AO11" s="2">
        <v>0</v>
      </c>
      <c r="AP11" s="12" t="s">
        <v>168</v>
      </c>
      <c r="AQ11" s="2">
        <v>0</v>
      </c>
      <c r="AR11" s="2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XXXXXXXXXXXXXXXXXXXXXX000X000XXXXXAXXXX00|00XXXXXXXXXXXXXXXXXXXX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 t="s">
        <v>135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XXXXXXXXXXXXXXXXXXXXXX0K0W0P0XXXXX0XXXX00000XXXXXXXXXXXXXXXXXXXX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141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XXXXXXXXXXXXXXXXXXXXXXXTXXXXXXXXXXXXXXXXXXXXXXXXXXXXXXXXXXXXXXXX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>
        <v>0</v>
      </c>
      <c r="X15" s="2">
        <v>0</v>
      </c>
      <c r="Y15" s="2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XXXXXXXXXXXXXXXXXXXXXX000XXXXXXXXXXXXXXXXXXXXXXXXXXXXXXXXXXXXXXX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>
        <v>0</v>
      </c>
      <c r="X16" s="2">
        <v>0</v>
      </c>
      <c r="Y16" s="2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XXXXXXXXXXXXXXXXXXXXXX000XXXXXXXXXXXXXXXXXXXXXXXXXXXXXXXXXXXXXXX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>
        <v>0</v>
      </c>
      <c r="X17" s="2">
        <v>0</v>
      </c>
      <c r="Y17" s="2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XXXXXXXXXXXXXXXXXXXXXX000XXXXXXXXXXXXXXXXXXXXXXXXXXXXXXXXXXXXXXX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10" priority="12" operator="containsText" text="X">
      <formula>NOT(ISERROR(SEARCH("X",A1)))</formula>
    </cfRule>
  </conditionalFormatting>
  <conditionalFormatting sqref="A1:BL1048576">
    <cfRule type="cellIs" dxfId="9" priority="1" operator="equal">
      <formula>"D"</formula>
    </cfRule>
    <cfRule type="cellIs" dxfId="8" priority="2" operator="equal">
      <formula>"G"</formula>
    </cfRule>
    <cfRule type="cellIs" dxfId="7" priority="3" operator="equal">
      <formula>"F"</formula>
    </cfRule>
    <cfRule type="cellIs" dxfId="6" priority="4" operator="equal">
      <formula>"E"</formula>
    </cfRule>
    <cfRule type="cellIs" dxfId="5" priority="6" operator="equal">
      <formula>"B"</formula>
    </cfRule>
    <cfRule type="cellIs" dxfId="4" priority="7" operator="equal">
      <formula>"C"</formula>
    </cfRule>
    <cfRule type="cellIs" dxfId="3" priority="8" operator="equal">
      <formula>"A"</formula>
    </cfRule>
    <cfRule type="cellIs" dxfId="2" priority="9" operator="equal">
      <formula>"T"</formula>
    </cfRule>
    <cfRule type="cellIs" dxfId="1" priority="10" operator="equal">
      <formula>"P"</formula>
    </cfRule>
    <cfRule type="cellIs" dxfId="0" priority="11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B1" sqref="B1:B8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  <c r="C12" s="5">
        <f>SUM(C9:C11)</f>
        <v>31744</v>
      </c>
      <c r="D12" s="5">
        <f>SUM(B12:C12)</f>
        <v>73728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G15"/>
  <sheetViews>
    <sheetView workbookViewId="0">
      <selection activeCell="A15" sqref="A15"/>
    </sheetView>
  </sheetViews>
  <sheetFormatPr defaultRowHeight="15" x14ac:dyDescent="0.25"/>
  <cols>
    <col min="1" max="1" width="13.7109375" bestFit="1" customWidth="1"/>
    <col min="3" max="3" width="9.140625" style="4"/>
    <col min="7" max="7" width="9.140625" style="4"/>
  </cols>
  <sheetData>
    <row r="1" spans="1:7" x14ac:dyDescent="0.25">
      <c r="B1" t="s">
        <v>45</v>
      </c>
      <c r="E1" t="s">
        <v>43</v>
      </c>
      <c r="F1" t="s">
        <v>50</v>
      </c>
    </row>
    <row r="2" spans="1:7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7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5" si="2">E3/3</f>
        <v>1.1666666666666667</v>
      </c>
    </row>
    <row r="4" spans="1:7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7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7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7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7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7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7" x14ac:dyDescent="0.25">
      <c r="A10" t="s">
        <v>96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7" x14ac:dyDescent="0.25">
      <c r="A11" t="s">
        <v>97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7" x14ac:dyDescent="0.25">
      <c r="A12" t="s">
        <v>114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  <row r="13" spans="1:7" x14ac:dyDescent="0.25">
      <c r="A13" t="s">
        <v>130</v>
      </c>
      <c r="E13">
        <v>8</v>
      </c>
      <c r="F13">
        <f t="shared" si="2"/>
        <v>2.6666666666666665</v>
      </c>
    </row>
    <row r="14" spans="1:7" x14ac:dyDescent="0.25">
      <c r="A14" t="s">
        <v>52</v>
      </c>
      <c r="E14">
        <v>11</v>
      </c>
      <c r="F14">
        <f t="shared" si="2"/>
        <v>3.6666666666666665</v>
      </c>
      <c r="G14" s="4">
        <f>E14/E13</f>
        <v>1.375</v>
      </c>
    </row>
    <row r="15" spans="1:7" x14ac:dyDescent="0.25">
      <c r="A15" t="s">
        <v>131</v>
      </c>
      <c r="E15">
        <v>12</v>
      </c>
      <c r="F15">
        <f t="shared" si="2"/>
        <v>4</v>
      </c>
      <c r="G15" s="4">
        <f>E15/E14</f>
        <v>1.0909090909090908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3" sqref="A3:XFD4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H15"/>
  <sheetViews>
    <sheetView workbookViewId="0">
      <selection activeCell="G15" sqref="G15"/>
    </sheetView>
  </sheetViews>
  <sheetFormatPr defaultRowHeight="15" x14ac:dyDescent="0.25"/>
  <cols>
    <col min="1" max="1" width="14.28515625" bestFit="1" customWidth="1"/>
    <col min="3" max="3" width="9.140625" style="8"/>
    <col min="5" max="5" width="9.140625" style="8"/>
    <col min="7" max="7" width="9.140625" style="9"/>
    <col min="8" max="8" width="9.140625" style="4"/>
  </cols>
  <sheetData>
    <row r="1" spans="1:8" x14ac:dyDescent="0.25">
      <c r="B1" s="13" t="s">
        <v>118</v>
      </c>
      <c r="C1" s="13"/>
      <c r="D1" s="13" t="s">
        <v>43</v>
      </c>
      <c r="E1" s="13"/>
    </row>
    <row r="2" spans="1:8" x14ac:dyDescent="0.25">
      <c r="B2" t="s">
        <v>116</v>
      </c>
      <c r="C2" s="8" t="s">
        <v>117</v>
      </c>
      <c r="D2" t="s">
        <v>116</v>
      </c>
      <c r="E2" s="8" t="s">
        <v>117</v>
      </c>
    </row>
    <row r="3" spans="1:8" x14ac:dyDescent="0.25">
      <c r="A3" t="s">
        <v>115</v>
      </c>
      <c r="B3">
        <v>32000</v>
      </c>
      <c r="C3" s="8">
        <f t="shared" ref="C3:C11" si="0">1000/B3</f>
        <v>3.125E-2</v>
      </c>
      <c r="D3">
        <v>17000</v>
      </c>
      <c r="E3" s="8">
        <f t="shared" ref="E3:E15" si="1">1000/D3</f>
        <v>5.8823529411764705E-2</v>
      </c>
    </row>
    <row r="4" spans="1:8" x14ac:dyDescent="0.25">
      <c r="A4" t="s">
        <v>119</v>
      </c>
      <c r="B4">
        <v>850</v>
      </c>
      <c r="C4" s="8">
        <f t="shared" si="0"/>
        <v>1.1764705882352942</v>
      </c>
      <c r="D4">
        <v>264</v>
      </c>
      <c r="E4" s="8">
        <f t="shared" si="1"/>
        <v>3.7878787878787881</v>
      </c>
      <c r="F4" s="8">
        <f>E4-E3</f>
        <v>3.7290552584670236</v>
      </c>
      <c r="G4" s="9">
        <f>1000/F4</f>
        <v>268.16443594646267</v>
      </c>
    </row>
    <row r="5" spans="1:8" x14ac:dyDescent="0.25">
      <c r="A5" t="s">
        <v>120</v>
      </c>
      <c r="B5">
        <v>29000</v>
      </c>
      <c r="C5" s="8">
        <f t="shared" si="0"/>
        <v>3.4482758620689655E-2</v>
      </c>
      <c r="D5">
        <v>10790</v>
      </c>
      <c r="E5" s="8">
        <f t="shared" si="1"/>
        <v>9.2678405931417976E-2</v>
      </c>
      <c r="F5" s="8">
        <f>E5-E3</f>
        <v>3.3854876519653271E-2</v>
      </c>
      <c r="G5" s="9">
        <f t="shared" ref="G5:G13" si="2">1000/F5</f>
        <v>29537.842190016105</v>
      </c>
    </row>
    <row r="6" spans="1:8" x14ac:dyDescent="0.25">
      <c r="A6" t="s">
        <v>121</v>
      </c>
      <c r="B6">
        <v>32000</v>
      </c>
      <c r="C6" s="8">
        <f t="shared" si="0"/>
        <v>3.125E-2</v>
      </c>
      <c r="D6">
        <v>10600</v>
      </c>
      <c r="E6" s="8">
        <f t="shared" si="1"/>
        <v>9.4339622641509441E-2</v>
      </c>
      <c r="F6" s="8">
        <f>E6-E3</f>
        <v>3.5516093229744736E-2</v>
      </c>
      <c r="G6" s="9">
        <f t="shared" si="2"/>
        <v>28156.249999999993</v>
      </c>
    </row>
    <row r="7" spans="1:8" x14ac:dyDescent="0.25">
      <c r="A7" t="s">
        <v>122</v>
      </c>
      <c r="B7">
        <v>32000</v>
      </c>
      <c r="C7" s="8">
        <f t="shared" si="0"/>
        <v>3.125E-2</v>
      </c>
      <c r="D7">
        <v>235</v>
      </c>
      <c r="E7" s="8">
        <f t="shared" si="1"/>
        <v>4.2553191489361701</v>
      </c>
      <c r="F7" s="8">
        <f>E7-E3</f>
        <v>4.1964956195244056</v>
      </c>
      <c r="G7" s="9">
        <f t="shared" si="2"/>
        <v>238.29406501640321</v>
      </c>
      <c r="H7" s="4">
        <f>F7/E14</f>
        <v>3.3571964956195244E-2</v>
      </c>
    </row>
    <row r="8" spans="1:8" x14ac:dyDescent="0.25">
      <c r="A8" t="s">
        <v>123</v>
      </c>
      <c r="B8">
        <v>2600</v>
      </c>
      <c r="C8" s="8">
        <f t="shared" si="0"/>
        <v>0.38461538461538464</v>
      </c>
      <c r="D8">
        <v>9</v>
      </c>
      <c r="E8" s="8">
        <f t="shared" si="1"/>
        <v>111.11111111111111</v>
      </c>
      <c r="F8" s="8">
        <f>E8-E3</f>
        <v>111.05228758169935</v>
      </c>
      <c r="G8" s="9">
        <f t="shared" si="2"/>
        <v>9.0047672297098469</v>
      </c>
    </row>
    <row r="9" spans="1:8" x14ac:dyDescent="0.25">
      <c r="A9" t="s">
        <v>124</v>
      </c>
      <c r="B9">
        <v>2800</v>
      </c>
      <c r="C9" s="8">
        <f t="shared" si="0"/>
        <v>0.35714285714285715</v>
      </c>
      <c r="D9">
        <v>9</v>
      </c>
      <c r="E9" s="8">
        <f t="shared" si="1"/>
        <v>111.11111111111111</v>
      </c>
      <c r="F9" s="8">
        <f>E9-E8</f>
        <v>0</v>
      </c>
    </row>
    <row r="10" spans="1:8" x14ac:dyDescent="0.25">
      <c r="A10" t="s">
        <v>125</v>
      </c>
      <c r="B10">
        <v>3800</v>
      </c>
      <c r="C10" s="8">
        <f t="shared" si="0"/>
        <v>0.26315789473684209</v>
      </c>
      <c r="D10">
        <v>11</v>
      </c>
      <c r="E10" s="8">
        <f t="shared" si="1"/>
        <v>90.909090909090907</v>
      </c>
      <c r="F10" s="8">
        <f>E8-E10</f>
        <v>20.202020202020208</v>
      </c>
      <c r="G10" s="9">
        <f t="shared" si="2"/>
        <v>49.499999999999986</v>
      </c>
    </row>
    <row r="11" spans="1:8" x14ac:dyDescent="0.25">
      <c r="A11" t="s">
        <v>41</v>
      </c>
      <c r="B11">
        <v>4562</v>
      </c>
      <c r="C11" s="8">
        <f t="shared" si="0"/>
        <v>0.21920210434020165</v>
      </c>
      <c r="D11">
        <v>12</v>
      </c>
      <c r="E11" s="8">
        <f t="shared" si="1"/>
        <v>83.333333333333329</v>
      </c>
      <c r="F11" s="8">
        <f>E8-E11</f>
        <v>27.777777777777786</v>
      </c>
      <c r="G11" s="9">
        <f t="shared" si="2"/>
        <v>35.999999999999993</v>
      </c>
    </row>
    <row r="12" spans="1:8" x14ac:dyDescent="0.25">
      <c r="A12" t="s">
        <v>127</v>
      </c>
      <c r="D12">
        <v>9</v>
      </c>
      <c r="E12" s="8">
        <f t="shared" si="1"/>
        <v>111.11111111111111</v>
      </c>
      <c r="F12" s="8">
        <f>E12-E8</f>
        <v>0</v>
      </c>
    </row>
    <row r="13" spans="1:8" x14ac:dyDescent="0.25">
      <c r="A13" t="s">
        <v>128</v>
      </c>
      <c r="D13">
        <v>15</v>
      </c>
      <c r="E13" s="8">
        <f t="shared" si="1"/>
        <v>66.666666666666671</v>
      </c>
      <c r="F13" s="8">
        <f>E8-E13</f>
        <v>44.444444444444443</v>
      </c>
      <c r="G13" s="9">
        <f t="shared" si="2"/>
        <v>22.5</v>
      </c>
      <c r="H13" s="4">
        <f>F13/E14</f>
        <v>0.35555555555555557</v>
      </c>
    </row>
    <row r="14" spans="1:8" x14ac:dyDescent="0.25">
      <c r="A14" t="s">
        <v>126</v>
      </c>
      <c r="D14">
        <v>8</v>
      </c>
      <c r="E14" s="8">
        <f t="shared" si="1"/>
        <v>125</v>
      </c>
    </row>
    <row r="15" spans="1:8" x14ac:dyDescent="0.25">
      <c r="A15" t="s">
        <v>129</v>
      </c>
      <c r="D15">
        <v>11</v>
      </c>
      <c r="E15" s="8">
        <f t="shared" si="1"/>
        <v>90.909090909090907</v>
      </c>
      <c r="F15" s="8">
        <f>E8-E15</f>
        <v>20.202020202020208</v>
      </c>
    </row>
  </sheetData>
  <mergeCells count="2">
    <mergeCell ref="B1:C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Optimisation</vt:lpstr>
      <vt:lpstr>Performance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2026-09-18T19:21:41Z</dcterms:modified>
</cp:coreProperties>
</file>